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2ef04d079e8828d2/Desktop/ENTRI/EXCEL/"/>
    </mc:Choice>
  </mc:AlternateContent>
  <xr:revisionPtr revIDLastSave="40" documentId="13_ncr:1_{13879BC8-AF05-41DB-B99A-DC62D33935E3}" xr6:coauthVersionLast="47" xr6:coauthVersionMax="47" xr10:uidLastSave="{5278D546-E9C1-4B4B-BCB7-FDCC3A6C9360}"/>
  <bookViews>
    <workbookView xWindow="-110" yWindow="-110" windowWidth="19420" windowHeight="10300" activeTab="2" xr2:uid="{3DF5E9B6-F343-4278-8FE7-9CB3B5E01E0D}"/>
  </bookViews>
  <sheets>
    <sheet name="Dataset" sheetId="1" r:id="rId1"/>
    <sheet name="Dataset_Cleaning" sheetId="8" r:id="rId2"/>
    <sheet name="cleaned" sheetId="14" r:id="rId3"/>
    <sheet name="PIVOT" sheetId="10" r:id="rId4"/>
    <sheet name="DASHBOARD" sheetId="13" r:id="rId5"/>
    <sheet name="Scenario Summary" sheetId="17" r:id="rId6"/>
    <sheet name="Scenario Manager" sheetId="2" r:id="rId7"/>
    <sheet name="VLKP" sheetId="3" r:id="rId8"/>
    <sheet name="VLKP (2)" sheetId="5" r:id="rId9"/>
    <sheet name="HLKP" sheetId="6" r:id="rId10"/>
    <sheet name="DateTime" sheetId="4" r:id="rId11"/>
  </sheets>
  <definedNames>
    <definedName name="Entertainment">'Scenario Manager'!$B$5</definedName>
    <definedName name="Food">'Scenario Manager'!$B$8</definedName>
    <definedName name="Housing">'Scenario Manager'!$B$4</definedName>
    <definedName name="Income">'Scenario Manager'!$B$12</definedName>
    <definedName name="Loans">'Scenario Manager'!$B$7</definedName>
    <definedName name="Personal_Care">'Scenario Manager'!$B$9</definedName>
    <definedName name="Savings">'Scenario Manager'!$B$13</definedName>
    <definedName name="Slicer_City">#N/A</definedName>
    <definedName name="Slicer_Dept">#N/A</definedName>
    <definedName name="Slicer_Gender">#N/A</definedName>
    <definedName name="Slicer_Grade">#N/A</definedName>
    <definedName name="Total_Cost">'Scenario Manager'!$B$10</definedName>
    <definedName name="Transportation">'Scenario Manager'!$B$6</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 i="3" l="1"/>
  <c r="J15" i="3"/>
  <c r="K9" i="3"/>
  <c r="G14" i="6"/>
  <c r="H14" i="6"/>
  <c r="G13" i="6"/>
  <c r="H13" i="6"/>
  <c r="F14" i="6"/>
  <c r="E14" i="6"/>
  <c r="D14" i="6"/>
  <c r="D13" i="6"/>
  <c r="F13" i="6"/>
  <c r="E13" i="6"/>
  <c r="B3" i="5"/>
  <c r="C3" i="5"/>
  <c r="D3" i="5"/>
  <c r="E3" i="5"/>
  <c r="F3" i="5"/>
  <c r="G3" i="5"/>
  <c r="B4" i="5"/>
  <c r="C4" i="5"/>
  <c r="D4" i="5"/>
  <c r="E4" i="5"/>
  <c r="F4" i="5"/>
  <c r="G4" i="5"/>
  <c r="B5" i="5"/>
  <c r="C5" i="5"/>
  <c r="D5" i="5"/>
  <c r="E5" i="5"/>
  <c r="F5" i="5"/>
  <c r="G5" i="5"/>
  <c r="B6" i="5"/>
  <c r="C6" i="5"/>
  <c r="D6" i="5"/>
  <c r="E6" i="5"/>
  <c r="F6" i="5"/>
  <c r="G6" i="5"/>
  <c r="B7" i="5"/>
  <c r="C7" i="5"/>
  <c r="D7" i="5"/>
  <c r="E7" i="5"/>
  <c r="F7" i="5"/>
  <c r="G7" i="5"/>
  <c r="B8" i="5"/>
  <c r="C8" i="5"/>
  <c r="D8" i="5"/>
  <c r="E8" i="5"/>
  <c r="F8" i="5"/>
  <c r="G8" i="5"/>
  <c r="B9" i="5"/>
  <c r="C9" i="5"/>
  <c r="D9" i="5"/>
  <c r="E9" i="5"/>
  <c r="F9" i="5"/>
  <c r="G9" i="5"/>
  <c r="B10" i="5"/>
  <c r="C10" i="5"/>
  <c r="D10" i="5"/>
  <c r="E10" i="5"/>
  <c r="F10" i="5"/>
  <c r="G10" i="5"/>
  <c r="B11" i="5"/>
  <c r="C11" i="5"/>
  <c r="D11" i="5"/>
  <c r="E11" i="5"/>
  <c r="F11" i="5"/>
  <c r="G11" i="5"/>
  <c r="B12" i="5"/>
  <c r="C12" i="5"/>
  <c r="D12" i="5"/>
  <c r="E12" i="5"/>
  <c r="F12" i="5"/>
  <c r="G12" i="5"/>
  <c r="B13" i="5"/>
  <c r="C13" i="5"/>
  <c r="D13" i="5"/>
  <c r="E13" i="5"/>
  <c r="F13" i="5"/>
  <c r="G13" i="5"/>
  <c r="B14" i="5"/>
  <c r="C14" i="5"/>
  <c r="D14" i="5"/>
  <c r="E14" i="5"/>
  <c r="F14" i="5"/>
  <c r="G14" i="5"/>
  <c r="B15" i="5"/>
  <c r="C15" i="5"/>
  <c r="D15" i="5"/>
  <c r="E15" i="5"/>
  <c r="F15" i="5"/>
  <c r="G15" i="5"/>
  <c r="B16" i="5"/>
  <c r="C16" i="5"/>
  <c r="D16" i="5"/>
  <c r="E16" i="5"/>
  <c r="F16" i="5"/>
  <c r="G16" i="5"/>
  <c r="B17" i="5"/>
  <c r="C17" i="5"/>
  <c r="D17" i="5"/>
  <c r="E17" i="5"/>
  <c r="F17" i="5"/>
  <c r="G17" i="5"/>
  <c r="B18" i="5"/>
  <c r="C18" i="5"/>
  <c r="D18" i="5"/>
  <c r="E18" i="5"/>
  <c r="F18" i="5"/>
  <c r="G18" i="5"/>
  <c r="B19" i="5"/>
  <c r="C19" i="5"/>
  <c r="D19" i="5"/>
  <c r="E19" i="5"/>
  <c r="F19" i="5"/>
  <c r="G19" i="5"/>
  <c r="B20" i="5"/>
  <c r="C20" i="5"/>
  <c r="D20" i="5"/>
  <c r="E20" i="5"/>
  <c r="F20" i="5"/>
  <c r="G20" i="5"/>
  <c r="B21" i="5"/>
  <c r="C21" i="5"/>
  <c r="D21" i="5"/>
  <c r="E21" i="5"/>
  <c r="F21" i="5"/>
  <c r="G21" i="5"/>
  <c r="B22" i="5"/>
  <c r="C22" i="5"/>
  <c r="D22" i="5"/>
  <c r="E22" i="5"/>
  <c r="F22" i="5"/>
  <c r="G22" i="5"/>
  <c r="B23" i="5"/>
  <c r="C23" i="5"/>
  <c r="D23" i="5"/>
  <c r="E23" i="5"/>
  <c r="F23" i="5"/>
  <c r="G23" i="5"/>
  <c r="B24" i="5"/>
  <c r="C24" i="5"/>
  <c r="D24" i="5"/>
  <c r="E24" i="5"/>
  <c r="F24" i="5"/>
  <c r="G24" i="5"/>
  <c r="B25" i="5"/>
  <c r="C25" i="5"/>
  <c r="D25" i="5"/>
  <c r="E25" i="5"/>
  <c r="F25" i="5"/>
  <c r="G25" i="5"/>
  <c r="B26" i="5"/>
  <c r="C26" i="5"/>
  <c r="D26" i="5"/>
  <c r="E26" i="5"/>
  <c r="F26" i="5"/>
  <c r="G26" i="5"/>
  <c r="B27" i="5"/>
  <c r="C27" i="5"/>
  <c r="D27" i="5"/>
  <c r="E27" i="5"/>
  <c r="F27" i="5"/>
  <c r="G27" i="5"/>
  <c r="B28" i="5"/>
  <c r="C28" i="5"/>
  <c r="D28" i="5"/>
  <c r="E28" i="5"/>
  <c r="F28" i="5"/>
  <c r="G28" i="5"/>
  <c r="B29" i="5"/>
  <c r="C29" i="5"/>
  <c r="D29" i="5"/>
  <c r="E29" i="5"/>
  <c r="F29" i="5"/>
  <c r="G29" i="5"/>
  <c r="B30" i="5"/>
  <c r="C30" i="5"/>
  <c r="D30" i="5"/>
  <c r="E30" i="5"/>
  <c r="F30" i="5"/>
  <c r="G30" i="5"/>
  <c r="B31" i="5"/>
  <c r="C31" i="5"/>
  <c r="D31" i="5"/>
  <c r="E31" i="5"/>
  <c r="F31" i="5"/>
  <c r="G31" i="5"/>
  <c r="B32" i="5"/>
  <c r="C32" i="5"/>
  <c r="D32" i="5"/>
  <c r="E32" i="5"/>
  <c r="F32" i="5"/>
  <c r="G32" i="5"/>
  <c r="B33" i="5"/>
  <c r="C33" i="5"/>
  <c r="D33" i="5"/>
  <c r="E33" i="5"/>
  <c r="F33" i="5"/>
  <c r="G33" i="5"/>
  <c r="B34" i="5"/>
  <c r="C34" i="5"/>
  <c r="D34" i="5"/>
  <c r="E34" i="5"/>
  <c r="F34" i="5"/>
  <c r="G34" i="5"/>
  <c r="B35" i="5"/>
  <c r="C35" i="5"/>
  <c r="D35" i="5"/>
  <c r="E35" i="5"/>
  <c r="F35" i="5"/>
  <c r="G35" i="5"/>
  <c r="B36" i="5"/>
  <c r="C36" i="5"/>
  <c r="D36" i="5"/>
  <c r="E36" i="5"/>
  <c r="F36" i="5"/>
  <c r="G36" i="5"/>
  <c r="B37" i="5"/>
  <c r="C37" i="5"/>
  <c r="D37" i="5"/>
  <c r="E37" i="5"/>
  <c r="F37" i="5"/>
  <c r="G37" i="5"/>
  <c r="B38" i="5"/>
  <c r="C38" i="5"/>
  <c r="D38" i="5"/>
  <c r="E38" i="5"/>
  <c r="F38" i="5"/>
  <c r="G38" i="5"/>
  <c r="B39" i="5"/>
  <c r="C39" i="5"/>
  <c r="D39" i="5"/>
  <c r="E39" i="5"/>
  <c r="F39" i="5"/>
  <c r="G39" i="5"/>
  <c r="B40" i="5"/>
  <c r="C40" i="5"/>
  <c r="D40" i="5"/>
  <c r="E40" i="5"/>
  <c r="F40" i="5"/>
  <c r="G40" i="5"/>
  <c r="G2" i="5"/>
  <c r="F2" i="5"/>
  <c r="E2" i="5"/>
  <c r="D2" i="5"/>
  <c r="C2" i="5"/>
  <c r="B2" i="5"/>
  <c r="K7" i="3"/>
  <c r="K6" i="3"/>
  <c r="K5" i="3"/>
  <c r="K4" i="3"/>
  <c r="B10" i="2"/>
  <c r="B13" i="2" s="1"/>
  <c r="K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J2" i="8" l="1"/>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E30" i="4" l="1"/>
  <c r="B30" i="4"/>
  <c r="E27" i="4"/>
  <c r="E26" i="4"/>
  <c r="E25" i="4"/>
  <c r="B27" i="4"/>
  <c r="B26" i="4"/>
  <c r="B25" i="4"/>
  <c r="E21" i="4"/>
  <c r="E22" i="4"/>
  <c r="E20" i="4"/>
  <c r="B21" i="4"/>
  <c r="B22" i="4"/>
  <c r="B20" i="4"/>
  <c r="E16" i="4"/>
  <c r="E17" i="4"/>
  <c r="E15" i="4"/>
  <c r="B16" i="4"/>
  <c r="B17" i="4"/>
  <c r="B15" i="4"/>
  <c r="E11" i="4"/>
  <c r="E12" i="4"/>
  <c r="E10" i="4"/>
  <c r="B11" i="4"/>
  <c r="B12" i="4"/>
  <c r="B10" i="4"/>
  <c r="E6" i="4"/>
  <c r="E7" i="4"/>
  <c r="E5" i="4"/>
  <c r="B6" i="4"/>
  <c r="B7" i="4"/>
  <c r="B5" i="4"/>
  <c r="E2" i="4"/>
  <c r="B2" i="4"/>
</calcChain>
</file>

<file path=xl/sharedStrings.xml><?xml version="1.0" encoding="utf-8"?>
<sst xmlns="http://schemas.openxmlformats.org/spreadsheetml/2006/main" count="973" uniqueCount="259">
  <si>
    <t>Student_ID</t>
  </si>
  <si>
    <t>Name</t>
  </si>
  <si>
    <t>Dept</t>
  </si>
  <si>
    <t>Mark</t>
  </si>
  <si>
    <t>Attendance (%)</t>
  </si>
  <si>
    <t>S1000</t>
  </si>
  <si>
    <t>Ravi</t>
  </si>
  <si>
    <t>Arts</t>
  </si>
  <si>
    <t>S1001</t>
  </si>
  <si>
    <t>Mohan</t>
  </si>
  <si>
    <t>Science</t>
  </si>
  <si>
    <t>S1002</t>
  </si>
  <si>
    <t>Deepika</t>
  </si>
  <si>
    <t>S1003</t>
  </si>
  <si>
    <t>Manohar</t>
  </si>
  <si>
    <t>Commerce</t>
  </si>
  <si>
    <t>S1004</t>
  </si>
  <si>
    <t>Priyanka</t>
  </si>
  <si>
    <t>S1005</t>
  </si>
  <si>
    <t>Vinoth</t>
  </si>
  <si>
    <t>S1006</t>
  </si>
  <si>
    <t>Shanthi</t>
  </si>
  <si>
    <t>S1007</t>
  </si>
  <si>
    <t>Manimegalai</t>
  </si>
  <si>
    <t>S1008</t>
  </si>
  <si>
    <t>Karthi</t>
  </si>
  <si>
    <t>S1009</t>
  </si>
  <si>
    <t>Mari</t>
  </si>
  <si>
    <t>S1010</t>
  </si>
  <si>
    <t>Mahesh</t>
  </si>
  <si>
    <t>S1011</t>
  </si>
  <si>
    <t>Sangeetha</t>
  </si>
  <si>
    <t>S1012</t>
  </si>
  <si>
    <t>Raghul</t>
  </si>
  <si>
    <t>S1013</t>
  </si>
  <si>
    <t>Jothi</t>
  </si>
  <si>
    <t>S1014</t>
  </si>
  <si>
    <t>Anisha</t>
  </si>
  <si>
    <t>S1015</t>
  </si>
  <si>
    <t>Venkat</t>
  </si>
  <si>
    <t>S1016</t>
  </si>
  <si>
    <t>Chandru</t>
  </si>
  <si>
    <t>S1017</t>
  </si>
  <si>
    <t>Dinesh</t>
  </si>
  <si>
    <t>S1018</t>
  </si>
  <si>
    <t>Poorvika</t>
  </si>
  <si>
    <t>S1019</t>
  </si>
  <si>
    <t>Vimal</t>
  </si>
  <si>
    <t>S1020</t>
  </si>
  <si>
    <t>Parthiban</t>
  </si>
  <si>
    <t>S1021</t>
  </si>
  <si>
    <t>Santhosh</t>
  </si>
  <si>
    <t>S1022</t>
  </si>
  <si>
    <t>Keerthika</t>
  </si>
  <si>
    <t>S1023</t>
  </si>
  <si>
    <t>Reeta</t>
  </si>
  <si>
    <t>S1024</t>
  </si>
  <si>
    <t>Lalitha</t>
  </si>
  <si>
    <t>S1025</t>
  </si>
  <si>
    <t>Sridhar</t>
  </si>
  <si>
    <t>S1026</t>
  </si>
  <si>
    <t>Kavitha</t>
  </si>
  <si>
    <t>S1027</t>
  </si>
  <si>
    <t>Murugesan</t>
  </si>
  <si>
    <t>S1028</t>
  </si>
  <si>
    <t>Gandhi</t>
  </si>
  <si>
    <t>S1029</t>
  </si>
  <si>
    <t>S1030</t>
  </si>
  <si>
    <t>Varshini</t>
  </si>
  <si>
    <t>S1031</t>
  </si>
  <si>
    <t>Indhumathi</t>
  </si>
  <si>
    <t>S1032</t>
  </si>
  <si>
    <t>Janani</t>
  </si>
  <si>
    <t>S1033</t>
  </si>
  <si>
    <t>Bharath</t>
  </si>
  <si>
    <t>S1034</t>
  </si>
  <si>
    <t>Akash</t>
  </si>
  <si>
    <t>S1035</t>
  </si>
  <si>
    <t>S1036</t>
  </si>
  <si>
    <t>Nirmal</t>
  </si>
  <si>
    <t>Gender_Age</t>
  </si>
  <si>
    <t>M34</t>
  </si>
  <si>
    <t>M22</t>
  </si>
  <si>
    <t>M23</t>
  </si>
  <si>
    <t>M24</t>
  </si>
  <si>
    <t>M25</t>
  </si>
  <si>
    <t>M26</t>
  </si>
  <si>
    <t>M27</t>
  </si>
  <si>
    <t>M28</t>
  </si>
  <si>
    <t>Last Name</t>
  </si>
  <si>
    <t>Kumar</t>
  </si>
  <si>
    <t>Raj</t>
  </si>
  <si>
    <t/>
  </si>
  <si>
    <t>Rani</t>
  </si>
  <si>
    <t>F21</t>
  </si>
  <si>
    <t>Babu</t>
  </si>
  <si>
    <t>Devi</t>
  </si>
  <si>
    <t>F23</t>
  </si>
  <si>
    <t>Muthu</t>
  </si>
  <si>
    <t>Lakshmi</t>
  </si>
  <si>
    <t>F29</t>
  </si>
  <si>
    <t>Selvi</t>
  </si>
  <si>
    <t>F28</t>
  </si>
  <si>
    <t>Velu</t>
  </si>
  <si>
    <t>Gopi</t>
  </si>
  <si>
    <t>Sekar</t>
  </si>
  <si>
    <t>Raji</t>
  </si>
  <si>
    <t>F22</t>
  </si>
  <si>
    <t>Arul</t>
  </si>
  <si>
    <t>Radha</t>
  </si>
  <si>
    <t>F26</t>
  </si>
  <si>
    <t>Meena</t>
  </si>
  <si>
    <t>F27</t>
  </si>
  <si>
    <t>Hari</t>
  </si>
  <si>
    <t>Raja</t>
  </si>
  <si>
    <t>Arasu</t>
  </si>
  <si>
    <t>Bala</t>
  </si>
  <si>
    <t>Gokul</t>
  </si>
  <si>
    <t>Divya</t>
  </si>
  <si>
    <t>F24</t>
  </si>
  <si>
    <t>Yamuna</t>
  </si>
  <si>
    <t>Nila</t>
  </si>
  <si>
    <t>F25</t>
  </si>
  <si>
    <t>Ramu</t>
  </si>
  <si>
    <t>Banu</t>
  </si>
  <si>
    <t>Kani</t>
  </si>
  <si>
    <t>Selvam</t>
  </si>
  <si>
    <t>Nithya</t>
  </si>
  <si>
    <t>Uma</t>
  </si>
  <si>
    <t>Guru</t>
  </si>
  <si>
    <t>Vignesh</t>
  </si>
  <si>
    <t>Prakash</t>
  </si>
  <si>
    <t>Personal Monthly Budget Table</t>
  </si>
  <si>
    <t>Category</t>
  </si>
  <si>
    <t>Cost</t>
  </si>
  <si>
    <t>Housing</t>
  </si>
  <si>
    <t>Entertainment</t>
  </si>
  <si>
    <t>Transportation</t>
  </si>
  <si>
    <t>Loans</t>
  </si>
  <si>
    <t>Food</t>
  </si>
  <si>
    <t>Personal Care</t>
  </si>
  <si>
    <t>Total Cost</t>
  </si>
  <si>
    <t>Income</t>
  </si>
  <si>
    <t>Savings</t>
  </si>
  <si>
    <t>Gender</t>
  </si>
  <si>
    <t>M</t>
  </si>
  <si>
    <t>F</t>
  </si>
  <si>
    <t>Age</t>
  </si>
  <si>
    <t>TODAY</t>
  </si>
  <si>
    <t>NOW</t>
  </si>
  <si>
    <t>Current Date</t>
  </si>
  <si>
    <t>Current Time</t>
  </si>
  <si>
    <t>DAY</t>
  </si>
  <si>
    <t>MONTH</t>
  </si>
  <si>
    <t>YEAR</t>
  </si>
  <si>
    <t>HOUR</t>
  </si>
  <si>
    <t>MINUTE</t>
  </si>
  <si>
    <t>SECOND</t>
  </si>
  <si>
    <t>DATE VALUE</t>
  </si>
  <si>
    <t>TIME VALUE</t>
  </si>
  <si>
    <t>EDATE</t>
  </si>
  <si>
    <t>EOMONTH</t>
  </si>
  <si>
    <t>DATE</t>
  </si>
  <si>
    <t>TIME</t>
  </si>
  <si>
    <t>DAYS</t>
  </si>
  <si>
    <t>8:30 Pm</t>
  </si>
  <si>
    <t>19:30</t>
  </si>
  <si>
    <t>1995-08-28</t>
  </si>
  <si>
    <t>2:30 am</t>
  </si>
  <si>
    <t>NAME</t>
  </si>
  <si>
    <t>CLASS</t>
  </si>
  <si>
    <t>MARK</t>
  </si>
  <si>
    <t>Deepthika</t>
  </si>
  <si>
    <t>10th</t>
  </si>
  <si>
    <t>11th</t>
  </si>
  <si>
    <t>28/ 1995</t>
  </si>
  <si>
    <t>28/08</t>
  </si>
  <si>
    <t>shift + 3</t>
  </si>
  <si>
    <t>08-28-2020</t>
  </si>
  <si>
    <t>poorvika</t>
  </si>
  <si>
    <t>Chennai</t>
  </si>
  <si>
    <t>Coimbatore</t>
  </si>
  <si>
    <t>Trichy</t>
  </si>
  <si>
    <t>Salem</t>
  </si>
  <si>
    <t>Pudhukottai</t>
  </si>
  <si>
    <t>Tenkasi</t>
  </si>
  <si>
    <t>Vellore</t>
  </si>
  <si>
    <t>Row Labels</t>
  </si>
  <si>
    <t>Grand Total</t>
  </si>
  <si>
    <t>Column Labels</t>
  </si>
  <si>
    <t>A</t>
  </si>
  <si>
    <t>B</t>
  </si>
  <si>
    <t>C</t>
  </si>
  <si>
    <t>U</t>
  </si>
  <si>
    <t>Count of Student_ID</t>
  </si>
  <si>
    <t>Average of Mark</t>
  </si>
  <si>
    <t>Max of Mark</t>
  </si>
  <si>
    <t>Sum of Eligibilty</t>
  </si>
  <si>
    <t>Average of Attendance (%)</t>
  </si>
  <si>
    <t>STUDENT DASHBOARD</t>
  </si>
  <si>
    <t>manimegalai</t>
  </si>
  <si>
    <t>sangeetha</t>
  </si>
  <si>
    <t>deepthiKha</t>
  </si>
  <si>
    <t>kani</t>
  </si>
  <si>
    <t>divya</t>
  </si>
  <si>
    <t>arts</t>
  </si>
  <si>
    <t>Full_Name</t>
  </si>
  <si>
    <t>Marks</t>
  </si>
  <si>
    <t>Attendance in %</t>
  </si>
  <si>
    <t>Ravi Kumar</t>
  </si>
  <si>
    <t>Mohan Raj</t>
  </si>
  <si>
    <t>Deepthikha Rani</t>
  </si>
  <si>
    <t>Manohar Babu</t>
  </si>
  <si>
    <t>Priyanka Devi</t>
  </si>
  <si>
    <t>Vinoth Muthu</t>
  </si>
  <si>
    <t>Shanthi Lakshmi</t>
  </si>
  <si>
    <t>Manimegalai Selvi</t>
  </si>
  <si>
    <t>Karthi Velu</t>
  </si>
  <si>
    <t>Mari Gopi</t>
  </si>
  <si>
    <t>Mahesh Sekar</t>
  </si>
  <si>
    <t>Sangeetha Raji</t>
  </si>
  <si>
    <t>Raghul Arul</t>
  </si>
  <si>
    <t>Jothi Radha</t>
  </si>
  <si>
    <t>Anisha Meena</t>
  </si>
  <si>
    <t>Venkat Hari</t>
  </si>
  <si>
    <t>Chandru Raja</t>
  </si>
  <si>
    <t>Dinesh Kumar</t>
  </si>
  <si>
    <t>Poorvika Devi</t>
  </si>
  <si>
    <t>Vimal Arasu</t>
  </si>
  <si>
    <t>Parthiban Bala</t>
  </si>
  <si>
    <t>Santhosh Gokul</t>
  </si>
  <si>
    <t>Keerthika Divya</t>
  </si>
  <si>
    <t>Reeta Yamuna</t>
  </si>
  <si>
    <t>Lalitha Nila</t>
  </si>
  <si>
    <t>Sridhar Ramu</t>
  </si>
  <si>
    <t>Kavitha Banu</t>
  </si>
  <si>
    <t>Murugesan Kani</t>
  </si>
  <si>
    <t>Gandhi Selvam</t>
  </si>
  <si>
    <t>Varshini Devi</t>
  </si>
  <si>
    <t>Indhumathi Nithya</t>
  </si>
  <si>
    <t>Janani Uma</t>
  </si>
  <si>
    <t>Bharath Guru</t>
  </si>
  <si>
    <t>Akash Vignesh</t>
  </si>
  <si>
    <t>Nirmal Prakash</t>
  </si>
  <si>
    <t>Personal_Care</t>
  </si>
  <si>
    <t>s1</t>
  </si>
  <si>
    <t>Created by Kumaran M on 03-10-2025</t>
  </si>
  <si>
    <t>s2</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</si>
  <si>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</si>
  <si>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</si>
  <si>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</si>
  <si>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</si>
  <si>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</si>
  <si>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</si>
  <si>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</si>
  <si>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 xml:space="preserve"> </t>
  </si>
  <si>
    <t>What is the Dept of</t>
  </si>
  <si>
    <t>Lname</t>
  </si>
  <si>
    <t>Attendance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</si>
</sst>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23" x14ac:knownFonts="1">
    <font>
      <sz val="11"/>
      <color theme="1"/>
      <name val="Calibri"/>
      <family val="2"/>
      <scheme val="minor"/>
    </font>
    <font>
      <sz val="16"/>
      <color theme="1"/>
      <name val="Calibri"/>
      <family val="2"/>
      <scheme val="minor"/>
    </font>
    <font>
      <b/>
      <sz val="16"/>
      <color theme="0"/>
      <name val="Calibri"/>
      <family val="2"/>
      <scheme val="minor"/>
    </font>
    <font>
      <b/>
      <sz val="16"/>
      <color theme="1"/>
      <name val="Calibri"/>
      <family val="2"/>
      <scheme val="minor"/>
    </font>
    <font>
      <b/>
      <sz val="18"/>
      <color theme="1"/>
      <name val="Calibri"/>
      <family val="2"/>
      <scheme val="minor"/>
    </font>
    <font>
      <sz val="16"/>
      <color theme="0"/>
      <name val="Calibri"/>
      <family val="2"/>
      <scheme val="minor"/>
    </font>
    <font>
      <sz val="11"/>
      <color theme="1"/>
      <name val="Arial"/>
      <family val="2"/>
    </font>
    <font>
      <sz val="12"/>
      <color theme="1"/>
      <name val="Calibri"/>
      <family val="2"/>
      <scheme val="minor"/>
    </font>
    <font>
      <sz val="14"/>
      <color theme="1"/>
      <name val="Calibri"/>
      <family val="2"/>
      <scheme val="minor"/>
    </font>
    <font>
      <b/>
      <sz val="16"/>
      <color theme="0"/>
      <name val="Calibri"/>
      <family val="2"/>
    </font>
    <font>
      <sz val="16"/>
      <color theme="1"/>
      <name val="Arial"/>
      <family val="2"/>
    </font>
    <font>
      <sz val="16"/>
      <color theme="1"/>
      <name val="Calibri"/>
      <family val="2"/>
    </font>
    <font>
      <sz val="16"/>
      <name val="Arial"/>
      <family val="2"/>
    </font>
    <font>
      <sz val="16"/>
      <name val="Calibri"/>
      <family val="2"/>
      <scheme val="minor"/>
    </font>
    <font>
      <i/>
      <sz val="11"/>
      <color theme="1"/>
      <name val="Calibri"/>
      <family val="2"/>
      <scheme val="minor"/>
    </font>
    <font>
      <b/>
      <sz val="22"/>
      <color theme="1"/>
      <name val="Century Gothic"/>
      <family val="2"/>
    </font>
    <font>
      <sz val="11"/>
      <color rgb="FFFF0000"/>
      <name val="Calibri"/>
      <family val="2"/>
      <scheme val="minor"/>
    </font>
    <font>
      <b/>
      <sz val="16"/>
      <color rgb="FFFF0000"/>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s>
  <fills count="22">
    <fill>
      <patternFill patternType="none"/>
    </fill>
    <fill>
      <patternFill patternType="gray125"/>
    </fill>
    <fill>
      <patternFill patternType="solid">
        <fgColor theme="9" tint="0.79998168889431442"/>
        <bgColor indexed="64"/>
      </patternFill>
    </fill>
    <fill>
      <patternFill patternType="solid">
        <fgColor theme="7"/>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0000"/>
        <bgColor indexed="64"/>
      </patternFill>
    </fill>
    <fill>
      <patternFill patternType="solid">
        <fgColor rgb="FF00B050"/>
        <bgColor indexed="64"/>
      </patternFill>
    </fill>
    <fill>
      <patternFill patternType="solid">
        <fgColor theme="9" tint="0.79998168889431442"/>
        <bgColor theme="9" tint="0.79998168889431442"/>
      </patternFill>
    </fill>
    <fill>
      <patternFill patternType="solid">
        <fgColor theme="9"/>
        <bgColor theme="9"/>
      </patternFill>
    </fill>
    <fill>
      <patternFill patternType="solid">
        <fgColor theme="0"/>
        <bgColor theme="9" tint="0.79998168889431442"/>
      </patternFill>
    </fill>
    <fill>
      <patternFill patternType="solid">
        <fgColor rgb="FF002060"/>
        <bgColor rgb="FF002060"/>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bgColor indexed="64"/>
      </patternFill>
    </fill>
    <fill>
      <patternFill patternType="solid">
        <fgColor theme="6"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13">
    <border>
      <left/>
      <right/>
      <top/>
      <bottom/>
      <diagonal/>
    </border>
    <border>
      <left style="thin">
        <color theme="9"/>
      </left>
      <right/>
      <top style="thin">
        <color theme="9"/>
      </top>
      <bottom style="thin">
        <color theme="9"/>
      </bottom>
      <diagonal/>
    </border>
    <border>
      <left style="thin">
        <color theme="9"/>
      </left>
      <right style="thin">
        <color theme="9"/>
      </right>
      <top style="thin">
        <color theme="9"/>
      </top>
      <bottom/>
      <diagonal/>
    </border>
    <border>
      <left style="thin">
        <color theme="9"/>
      </left>
      <right/>
      <top style="thin">
        <color theme="9"/>
      </top>
      <bottom/>
      <diagonal/>
    </border>
    <border>
      <left style="thin">
        <color theme="9"/>
      </left>
      <right/>
      <top style="medium">
        <color theme="9"/>
      </top>
      <bottom/>
      <diagonal/>
    </border>
    <border>
      <left style="thin">
        <color theme="9"/>
      </left>
      <right style="thin">
        <color theme="9"/>
      </right>
      <top style="thin">
        <color theme="9" tint="0.39997558519241921"/>
      </top>
      <bottom style="thin">
        <color theme="9"/>
      </bottom>
      <diagonal/>
    </border>
    <border>
      <left style="thin">
        <color theme="9"/>
      </left>
      <right style="thin">
        <color theme="9"/>
      </right>
      <top style="thin">
        <color theme="9" tint="0.39997558519241921"/>
      </top>
      <bottom/>
      <diagonal/>
    </border>
    <border>
      <left/>
      <right/>
      <top/>
      <bottom style="thick">
        <color theme="7"/>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6" fillId="0" borderId="0"/>
  </cellStyleXfs>
  <cellXfs count="78">
    <xf numFmtId="0" fontId="0" fillId="0" borderId="0" xfId="0"/>
    <xf numFmtId="0" fontId="1" fillId="0" borderId="0" xfId="0" applyFont="1"/>
    <xf numFmtId="0" fontId="1" fillId="9" borderId="1" xfId="0" applyFont="1" applyFill="1" applyBorder="1"/>
    <xf numFmtId="0" fontId="1" fillId="9" borderId="3" xfId="0" applyFont="1" applyFill="1" applyBorder="1"/>
    <xf numFmtId="0" fontId="1" fillId="9" borderId="4" xfId="0" applyFont="1" applyFill="1" applyBorder="1"/>
    <xf numFmtId="0" fontId="1" fillId="0" borderId="3" xfId="0" applyFont="1" applyBorder="1"/>
    <xf numFmtId="0" fontId="2" fillId="10" borderId="3" xfId="0" applyFont="1" applyFill="1" applyBorder="1"/>
    <xf numFmtId="0" fontId="2" fillId="10" borderId="2" xfId="0" applyFont="1" applyFill="1" applyBorder="1"/>
    <xf numFmtId="0" fontId="1" fillId="9" borderId="6" xfId="0" applyFont="1" applyFill="1" applyBorder="1"/>
    <xf numFmtId="0" fontId="1" fillId="9" borderId="5" xfId="0" applyFont="1" applyFill="1" applyBorder="1"/>
    <xf numFmtId="0" fontId="1" fillId="11" borderId="6" xfId="0" applyFont="1" applyFill="1" applyBorder="1"/>
    <xf numFmtId="0" fontId="7" fillId="0" borderId="0" xfId="0" applyFont="1"/>
    <xf numFmtId="0" fontId="10" fillId="0" borderId="0" xfId="1" applyFont="1"/>
    <xf numFmtId="0" fontId="11" fillId="0" borderId="0" xfId="1" applyFont="1" applyAlignment="1">
      <alignment horizontal="left" vertical="center"/>
    </xf>
    <xf numFmtId="14" fontId="11" fillId="0" borderId="0" xfId="1" applyNumberFormat="1" applyFont="1"/>
    <xf numFmtId="22" fontId="11" fillId="0" borderId="0" xfId="1" applyNumberFormat="1" applyFont="1"/>
    <xf numFmtId="14" fontId="12" fillId="0" borderId="0" xfId="1" applyNumberFormat="1" applyFont="1"/>
    <xf numFmtId="14" fontId="11" fillId="0" borderId="0" xfId="1" applyNumberFormat="1" applyFont="1" applyAlignment="1">
      <alignment horizontal="left" vertical="center"/>
    </xf>
    <xf numFmtId="0" fontId="11" fillId="0" borderId="0" xfId="1" applyFont="1" applyAlignment="1">
      <alignment horizontal="left"/>
    </xf>
    <xf numFmtId="22" fontId="11" fillId="0" borderId="0" xfId="1" applyNumberFormat="1" applyFont="1" applyAlignment="1">
      <alignment horizontal="left" vertical="center"/>
    </xf>
    <xf numFmtId="164" fontId="11" fillId="0" borderId="0" xfId="1" applyNumberFormat="1" applyFont="1" applyAlignment="1">
      <alignment horizontal="left" vertical="center"/>
    </xf>
    <xf numFmtId="49" fontId="11" fillId="0" borderId="0" xfId="1" applyNumberFormat="1" applyFont="1" applyAlignment="1">
      <alignment horizontal="left" vertical="center"/>
    </xf>
    <xf numFmtId="14" fontId="11" fillId="0" borderId="0" xfId="1" applyNumberFormat="1" applyFont="1" applyAlignment="1">
      <alignment horizontal="left"/>
    </xf>
    <xf numFmtId="18" fontId="11" fillId="0" borderId="0" xfId="1" applyNumberFormat="1" applyFont="1" applyAlignment="1">
      <alignment horizontal="left"/>
    </xf>
    <xf numFmtId="22" fontId="10" fillId="0" borderId="0" xfId="1" applyNumberFormat="1" applyFont="1"/>
    <xf numFmtId="15" fontId="11" fillId="0" borderId="0" xfId="1" applyNumberFormat="1" applyFont="1" applyAlignment="1">
      <alignment horizontal="left" vertical="center"/>
    </xf>
    <xf numFmtId="20" fontId="11" fillId="0" borderId="0" xfId="1" applyNumberFormat="1" applyFont="1" applyAlignment="1">
      <alignment horizontal="left" vertical="center"/>
    </xf>
    <xf numFmtId="15" fontId="11" fillId="0" borderId="0" xfId="1" applyNumberFormat="1" applyFont="1" applyAlignment="1">
      <alignment horizontal="left"/>
    </xf>
    <xf numFmtId="0" fontId="8" fillId="14" borderId="8" xfId="0" applyFont="1" applyFill="1" applyBorder="1"/>
    <xf numFmtId="0" fontId="0" fillId="2" borderId="8" xfId="0" applyFill="1" applyBorder="1"/>
    <xf numFmtId="0" fontId="14" fillId="0" borderId="0" xfId="0" applyFont="1" applyAlignment="1">
      <alignment horizontal="centerContinuous"/>
    </xf>
    <xf numFmtId="0" fontId="1" fillId="6" borderId="8" xfId="0" applyFont="1" applyFill="1" applyBorder="1"/>
    <xf numFmtId="0" fontId="1" fillId="14" borderId="8" xfId="0" applyFont="1" applyFill="1" applyBorder="1"/>
    <xf numFmtId="0" fontId="1" fillId="16" borderId="8" xfId="0" applyFont="1" applyFill="1" applyBorder="1"/>
    <xf numFmtId="0" fontId="1" fillId="13" borderId="8" xfId="0" applyFont="1" applyFill="1" applyBorder="1"/>
    <xf numFmtId="165" fontId="11" fillId="0" borderId="0" xfId="1" applyNumberFormat="1" applyFont="1" applyAlignment="1">
      <alignment horizontal="left" vertical="center"/>
    </xf>
    <xf numFmtId="20" fontId="1" fillId="0" borderId="0" xfId="0" applyNumberFormat="1" applyFont="1"/>
    <xf numFmtId="15" fontId="10" fillId="0" borderId="0" xfId="1" applyNumberFormat="1" applyFon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 fillId="0" borderId="0" xfId="0" applyFont="1" applyAlignment="1">
      <alignment horizontal="center"/>
    </xf>
    <xf numFmtId="0" fontId="1" fillId="0" borderId="0" xfId="0" applyFont="1" applyAlignment="1">
      <alignment horizontal="center" vertical="center"/>
    </xf>
    <xf numFmtId="0" fontId="1" fillId="17" borderId="0" xfId="0" applyFont="1" applyFill="1" applyAlignment="1">
      <alignment horizontal="center"/>
    </xf>
    <xf numFmtId="0" fontId="1" fillId="18" borderId="8" xfId="0" applyFont="1" applyFill="1" applyBorder="1"/>
    <xf numFmtId="0" fontId="17" fillId="17" borderId="8" xfId="0" applyFont="1" applyFill="1" applyBorder="1" applyAlignment="1">
      <alignment horizontal="center"/>
    </xf>
    <xf numFmtId="0" fontId="3" fillId="4" borderId="8" xfId="0" applyFont="1" applyFill="1" applyBorder="1" applyAlignment="1">
      <alignment horizontal="center" vertical="center" wrapText="1"/>
    </xf>
    <xf numFmtId="0" fontId="1" fillId="5" borderId="8" xfId="0" applyFont="1" applyFill="1" applyBorder="1" applyAlignment="1">
      <alignment vertical="center" wrapText="1"/>
    </xf>
    <xf numFmtId="0" fontId="1" fillId="6" borderId="8" xfId="0" applyFont="1" applyFill="1" applyBorder="1" applyAlignment="1">
      <alignment vertical="center" wrapText="1"/>
    </xf>
    <xf numFmtId="0" fontId="2" fillId="7" borderId="8" xfId="0" applyFont="1" applyFill="1" applyBorder="1" applyAlignment="1">
      <alignment vertical="center" wrapText="1"/>
    </xf>
    <xf numFmtId="0" fontId="5" fillId="7" borderId="8" xfId="0" applyFont="1" applyFill="1" applyBorder="1" applyAlignment="1">
      <alignment vertical="center" wrapText="1"/>
    </xf>
    <xf numFmtId="0" fontId="3" fillId="2" borderId="8" xfId="0" applyFont="1" applyFill="1" applyBorder="1" applyAlignment="1">
      <alignment vertical="center" wrapText="1"/>
    </xf>
    <xf numFmtId="0" fontId="1" fillId="2" borderId="8" xfId="0" applyFont="1" applyFill="1" applyBorder="1" applyAlignment="1">
      <alignment vertical="center" wrapText="1"/>
    </xf>
    <xf numFmtId="0" fontId="3" fillId="8" borderId="8" xfId="0" applyFont="1" applyFill="1" applyBorder="1" applyAlignment="1">
      <alignment vertical="center" wrapText="1"/>
    </xf>
    <xf numFmtId="0" fontId="1" fillId="8" borderId="8" xfId="0" applyFont="1" applyFill="1" applyBorder="1" applyAlignment="1">
      <alignment vertical="center" wrapText="1"/>
    </xf>
    <xf numFmtId="0" fontId="0" fillId="0" borderId="10" xfId="0" applyBorder="1"/>
    <xf numFmtId="0" fontId="18" fillId="19" borderId="11" xfId="0" applyFont="1" applyFill="1" applyBorder="1" applyAlignment="1">
      <alignment horizontal="left"/>
    </xf>
    <xf numFmtId="0" fontId="18" fillId="19" borderId="9" xfId="0" applyFont="1" applyFill="1" applyBorder="1" applyAlignment="1">
      <alignment horizontal="left"/>
    </xf>
    <xf numFmtId="0" fontId="0" fillId="0" borderId="12" xfId="0" applyBorder="1"/>
    <xf numFmtId="0" fontId="19" fillId="20" borderId="0" xfId="0" applyFont="1" applyFill="1" applyAlignment="1">
      <alignment horizontal="left"/>
    </xf>
    <xf numFmtId="0" fontId="20" fillId="20" borderId="12" xfId="0" applyFont="1" applyFill="1" applyBorder="1" applyAlignment="1">
      <alignment horizontal="left"/>
    </xf>
    <xf numFmtId="0" fontId="19" fillId="20" borderId="10" xfId="0" applyFont="1" applyFill="1" applyBorder="1" applyAlignment="1">
      <alignment horizontal="left"/>
    </xf>
    <xf numFmtId="0" fontId="21" fillId="19" borderId="9" xfId="0" applyFont="1" applyFill="1" applyBorder="1" applyAlignment="1">
      <alignment horizontal="right"/>
    </xf>
    <xf numFmtId="0" fontId="21" fillId="19" borderId="11" xfId="0" applyFont="1" applyFill="1" applyBorder="1" applyAlignment="1">
      <alignment horizontal="right"/>
    </xf>
    <xf numFmtId="0" fontId="0" fillId="21" borderId="0" xfId="0" applyFill="1"/>
    <xf numFmtId="0" fontId="22" fillId="0" borderId="0" xfId="0" applyFont="1" applyAlignment="1">
      <alignment vertical="top" wrapText="1"/>
    </xf>
    <xf numFmtId="0" fontId="8" fillId="14" borderId="0" xfId="0" applyFont="1" applyFill="1"/>
    <xf numFmtId="0" fontId="17" fillId="0" borderId="3" xfId="0" applyFont="1" applyBorder="1"/>
    <xf numFmtId="0" fontId="17" fillId="0" borderId="0" xfId="0" applyFont="1"/>
    <xf numFmtId="0" fontId="16" fillId="0" borderId="0" xfId="0" applyFont="1"/>
    <xf numFmtId="0" fontId="0" fillId="2" borderId="0" xfId="0" applyFill="1"/>
    <xf numFmtId="0" fontId="15" fillId="15" borderId="0" xfId="0" applyFont="1" applyFill="1" applyAlignment="1">
      <alignment horizontal="center"/>
    </xf>
    <xf numFmtId="0" fontId="4" fillId="3" borderId="0" xfId="0" applyFont="1" applyFill="1" applyAlignment="1">
      <alignment horizontal="center" vertical="center"/>
    </xf>
    <xf numFmtId="0" fontId="0" fillId="0" borderId="0" xfId="0" applyAlignment="1">
      <alignment horizontal="center"/>
    </xf>
    <xf numFmtId="0" fontId="13" fillId="13" borderId="0" xfId="0" applyFont="1" applyFill="1" applyAlignment="1">
      <alignment horizontal="center"/>
    </xf>
    <xf numFmtId="0" fontId="9" fillId="12" borderId="7" xfId="1" applyFont="1" applyFill="1" applyBorder="1" applyAlignment="1">
      <alignment horizontal="center"/>
    </xf>
    <xf numFmtId="1" fontId="1" fillId="18" borderId="8" xfId="0" applyNumberFormat="1" applyFont="1" applyFill="1" applyBorder="1"/>
  </cellXfs>
  <cellStyles count="2">
    <cellStyle name="Normal" xfId="0" builtinId="0"/>
    <cellStyle name="Normal 2" xfId="1" xr:uid="{00000000-0005-0000-0000-00002F000000}"/>
  </cellStyles>
  <dxfs count="3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numFmt numFmtId="1" formatCode="0"/>
    </dxf>
    <dxf>
      <numFmt numFmtId="1" formatCode="0"/>
    </dxf>
    <dxf>
      <numFmt numFmtId="2" formatCode="0.00"/>
    </dxf>
    <dxf>
      <font>
        <b val="0"/>
        <i val="0"/>
        <strike val="0"/>
        <condense val="0"/>
        <extend val="0"/>
        <outline val="0"/>
        <shadow val="0"/>
        <u val="none"/>
        <vertAlign val="baseline"/>
        <sz val="16"/>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textRotation="0" wrapText="0" indent="0" justifyLastLine="0" shrinkToFit="0" readingOrder="0"/>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numFmt numFmtId="0" formatCode="General"/>
    </dxf>
    <dxf>
      <font>
        <b val="0"/>
        <i val="0"/>
        <strike val="0"/>
        <condense val="0"/>
        <extend val="0"/>
        <outline val="0"/>
        <shadow val="0"/>
        <u val="none"/>
        <vertAlign val="baseline"/>
        <sz val="16"/>
        <color theme="1"/>
        <name val="Calibri"/>
        <family val="2"/>
        <scheme val="minor"/>
      </font>
      <numFmt numFmtId="0" formatCode="General"/>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[Live Cleaning1.xlsx]PIVOT!PivotTable3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MARK BY DEPT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6E-4834-B20A-DDFBC9D5CF1C}"/>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6E-4834-B20A-DDFBC9D5CF1C}"/>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46E-4834-B20A-DDFBC9D5CF1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PIVOT!$A$4:$A$7</c:f>
              <c:strCache>
                <c:ptCount val="3"/>
                <c:pt idx="0">
                  <c:v>Arts</c:v>
                </c:pt>
                <c:pt idx="1">
                  <c:v>Commerce</c:v>
                </c:pt>
                <c:pt idx="2">
                  <c:v>Science</c:v>
                </c:pt>
              </c:strCache>
            </c:strRef>
          </c:cat>
          <c:val>
            <c:numRef>
              <c:f>PIVOT!$B$4:$B$7</c:f>
              <c:numCache>
                <c:formatCode>0</c:formatCode>
                <c:ptCount val="3"/>
                <c:pt idx="0">
                  <c:v>65.416666666666671</c:v>
                </c:pt>
                <c:pt idx="1">
                  <c:v>65.599999999999994</c:v>
                </c:pt>
                <c:pt idx="2">
                  <c:v>63.5</c:v>
                </c:pt>
              </c:numCache>
            </c:numRef>
          </c:val>
          <c:extLst>
            <c:ext xmlns:c16="http://schemas.microsoft.com/office/drawing/2014/chart" uri="{C3380CC4-5D6E-409C-BE32-E72D297353CC}">
              <c16:uniqueId val="{00000000-43DB-4088-B398-69B0AD019D8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[Live Cleaning1.xlsx]PIVOT!PivotTable4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students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PIVOT!$B$10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PIVOT!$A$11:$A$18</c:f>
              <c:strCache>
                <c:ptCount val="7"/>
                <c:pt idx="0">
                  <c:v>Chennai</c:v>
                </c:pt>
                <c:pt idx="1">
                  <c:v>Coimbatore</c:v>
                </c:pt>
                <c:pt idx="2">
                  <c:v>Pudhukottai</c:v>
                </c:pt>
                <c:pt idx="3">
                  <c:v>Salem</c:v>
                </c:pt>
                <c:pt idx="4">
                  <c:v>Tenkasi</c:v>
                </c:pt>
                <c:pt idx="5">
                  <c:v>Trichy</c:v>
                </c:pt>
                <c:pt idx="6">
                  <c:v>Vellore</c:v>
                </c:pt>
              </c:strCache>
            </c:strRef>
          </c:cat>
          <c:val>
            <c:numRef>
              <c:f>PIVOT!$B$11:$B$18</c:f>
              <c:numCache>
                <c:formatCode>General</c:formatCode>
                <c:ptCount val="7"/>
                <c:pt idx="0">
                  <c:v>7</c:v>
                </c:pt>
                <c:pt idx="1">
                  <c:v>6</c:v>
                </c:pt>
                <c:pt idx="2">
                  <c:v>4</c:v>
                </c:pt>
                <c:pt idx="3">
                  <c:v>6</c:v>
                </c:pt>
                <c:pt idx="4">
                  <c:v>6</c:v>
                </c:pt>
                <c:pt idx="5">
                  <c:v>5</c:v>
                </c:pt>
                <c:pt idx="6">
                  <c:v>5</c:v>
                </c:pt>
              </c:numCache>
            </c:numRef>
          </c:val>
          <c:extLst>
            <c:ext xmlns:c16="http://schemas.microsoft.com/office/drawing/2014/chart" uri="{C3380CC4-5D6E-409C-BE32-E72D297353CC}">
              <c16:uniqueId val="{00000000-F892-499C-AB24-3A0A77F626D4}"/>
            </c:ext>
          </c:extLst>
        </c:ser>
        <c:dLbls>
          <c:showLegendKey val="0"/>
          <c:showVal val="0"/>
          <c:showCatName val="0"/>
          <c:showSerName val="0"/>
          <c:showPercent val="0"/>
          <c:showBubbleSize val="0"/>
        </c:dLbls>
        <c:gapWidth val="150"/>
        <c:shape val="box"/>
        <c:axId val="579827488"/>
        <c:axId val="580358896"/>
        <c:axId val="0"/>
      </c:bar3DChart>
      <c:catAx>
        <c:axId val="5798274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580358896"/>
        <c:crosses val="autoZero"/>
        <c:auto val="1"/>
        <c:lblAlgn val="ctr"/>
        <c:lblOffset val="100"/>
        <c:noMultiLvlLbl val="0"/>
      </c:catAx>
      <c:valAx>
        <c:axId val="5803588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57982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[Live Cleaning1.xlsx]PIVOT!PivotTable6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a:t>
            </a:r>
            <a:r>
              <a:rPr lang="en-IN" baseline="0"/>
              <a:t> MARK BY GENDER AND DEPT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1111111111111112E-2"/>
              <c:y val="0.2407407407407406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888888888888878"/>
              <c:y val="-4.629629629629633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277777777777777"/>
              <c:y val="-0.1250000000000000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2777777777777778E-2"/>
              <c:y val="-0.1203703703703703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6111111111111108E-2"/>
              <c:y val="0.1990740740740740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1666666666666664E-2"/>
              <c:y val="-7.40740740740740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PIVOT!$B$29:$B$30</c:f>
              <c:strCache>
                <c:ptCount val="1"/>
                <c:pt idx="0">
                  <c:v>F</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7-3C4B-4B79-9320-B0CEA6DDCBA6}"/>
              </c:ext>
            </c:extLst>
          </c:dPt>
          <c:dPt>
            <c:idx val="1"/>
            <c:invertIfNegative val="0"/>
            <c:bubble3D val="0"/>
            <c:extLst>
              <c:ext xmlns:c16="http://schemas.microsoft.com/office/drawing/2014/chart" uri="{C3380CC4-5D6E-409C-BE32-E72D297353CC}">
                <c16:uniqueId val="{00000005-3C4B-4B79-9320-B0CEA6DDCBA6}"/>
              </c:ext>
            </c:extLst>
          </c:dPt>
          <c:dPt>
            <c:idx val="2"/>
            <c:invertIfNegative val="0"/>
            <c:bubble3D val="0"/>
            <c:extLst>
              <c:ext xmlns:c16="http://schemas.microsoft.com/office/drawing/2014/chart" uri="{C3380CC4-5D6E-409C-BE32-E72D297353CC}">
                <c16:uniqueId val="{00000002-3C4B-4B79-9320-B0CEA6DDCBA6}"/>
              </c:ext>
            </c:extLst>
          </c:dPt>
          <c:dLbls>
            <c:dLbl>
              <c:idx val="0"/>
              <c:layout>
                <c:manualLayout>
                  <c:x val="-4.1666666666666664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4B-4B79-9320-B0CEA6DDCBA6}"/>
                </c:ext>
              </c:extLst>
            </c:dLbl>
            <c:dLbl>
              <c:idx val="1"/>
              <c:layout>
                <c:manualLayout>
                  <c:x val="-5.2777777777777778E-2"/>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4B-4B79-9320-B0CEA6DDCBA6}"/>
                </c:ext>
              </c:extLst>
            </c:dLbl>
            <c:dLbl>
              <c:idx val="2"/>
              <c:layout>
                <c:manualLayout>
                  <c:x val="1.1111111111111112E-2"/>
                  <c:y val="0.240740740740740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4B-4B79-9320-B0CEA6DDCBA6}"/>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PIVOT!$A$31:$A$34</c:f>
              <c:strCache>
                <c:ptCount val="3"/>
                <c:pt idx="0">
                  <c:v>Arts</c:v>
                </c:pt>
                <c:pt idx="1">
                  <c:v>Commerce</c:v>
                </c:pt>
                <c:pt idx="2">
                  <c:v>Science</c:v>
                </c:pt>
              </c:strCache>
            </c:strRef>
          </c:cat>
          <c:val>
            <c:numRef>
              <c:f>PIVOT!$B$31:$B$34</c:f>
              <c:numCache>
                <c:formatCode>0.00</c:formatCode>
                <c:ptCount val="3"/>
                <c:pt idx="0">
                  <c:v>63.6</c:v>
                </c:pt>
                <c:pt idx="1">
                  <c:v>67.5</c:v>
                </c:pt>
                <c:pt idx="2">
                  <c:v>55.166666666666664</c:v>
                </c:pt>
              </c:numCache>
            </c:numRef>
          </c:val>
          <c:extLst>
            <c:ext xmlns:c16="http://schemas.microsoft.com/office/drawing/2014/chart" uri="{C3380CC4-5D6E-409C-BE32-E72D297353CC}">
              <c16:uniqueId val="{00000000-3C4B-4B79-9320-B0CEA6DDCBA6}"/>
            </c:ext>
          </c:extLst>
        </c:ser>
        <c:ser>
          <c:idx val="1"/>
          <c:order val="1"/>
          <c:tx>
            <c:strRef>
              <c:f>PIVOT!$C$29:$C$30</c:f>
              <c:strCache>
                <c:ptCount val="1"/>
                <c:pt idx="0">
                  <c:v>M</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6-3C4B-4B79-9320-B0CEA6DDCBA6}"/>
              </c:ext>
            </c:extLst>
          </c:dPt>
          <c:dPt>
            <c:idx val="1"/>
            <c:invertIfNegative val="0"/>
            <c:bubble3D val="0"/>
            <c:extLst>
              <c:ext xmlns:c16="http://schemas.microsoft.com/office/drawing/2014/chart" uri="{C3380CC4-5D6E-409C-BE32-E72D297353CC}">
                <c16:uniqueId val="{00000004-3C4B-4B79-9320-B0CEA6DDCBA6}"/>
              </c:ext>
            </c:extLst>
          </c:dPt>
          <c:dPt>
            <c:idx val="2"/>
            <c:invertIfNegative val="0"/>
            <c:bubble3D val="0"/>
            <c:extLst>
              <c:ext xmlns:c16="http://schemas.microsoft.com/office/drawing/2014/chart" uri="{C3380CC4-5D6E-409C-BE32-E72D297353CC}">
                <c16:uniqueId val="{00000003-3C4B-4B79-9320-B0CEA6DDCBA6}"/>
              </c:ext>
            </c:extLst>
          </c:dPt>
          <c:dLbls>
            <c:dLbl>
              <c:idx val="0"/>
              <c:layout>
                <c:manualLayout>
                  <c:x val="3.6111111111111108E-2"/>
                  <c:y val="0.199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C4B-4B79-9320-B0CEA6DDCBA6}"/>
                </c:ext>
              </c:extLst>
            </c:dLbl>
            <c:dLbl>
              <c:idx val="1"/>
              <c:layout>
                <c:manualLayout>
                  <c:x val="0.10277777777777777"/>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4B-4B79-9320-B0CEA6DDCBA6}"/>
                </c:ext>
              </c:extLst>
            </c:dLbl>
            <c:dLbl>
              <c:idx val="2"/>
              <c:layout>
                <c:manualLayout>
                  <c:x val="0.13888888888888878"/>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4B-4B79-9320-B0CEA6DDCBA6}"/>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PIVOT!$A$31:$A$34</c:f>
              <c:strCache>
                <c:ptCount val="3"/>
                <c:pt idx="0">
                  <c:v>Arts</c:v>
                </c:pt>
                <c:pt idx="1">
                  <c:v>Commerce</c:v>
                </c:pt>
                <c:pt idx="2">
                  <c:v>Science</c:v>
                </c:pt>
              </c:strCache>
            </c:strRef>
          </c:cat>
          <c:val>
            <c:numRef>
              <c:f>PIVOT!$C$31:$C$34</c:f>
              <c:numCache>
                <c:formatCode>0.00</c:formatCode>
                <c:ptCount val="3"/>
                <c:pt idx="0">
                  <c:v>66.714285714285708</c:v>
                </c:pt>
                <c:pt idx="1">
                  <c:v>64.909090909090907</c:v>
                </c:pt>
                <c:pt idx="2">
                  <c:v>71.833333333333329</c:v>
                </c:pt>
              </c:numCache>
            </c:numRef>
          </c:val>
          <c:extLst>
            <c:ext xmlns:c16="http://schemas.microsoft.com/office/drawing/2014/chart" uri="{C3380CC4-5D6E-409C-BE32-E72D297353CC}">
              <c16:uniqueId val="{00000001-3C4B-4B79-9320-B0CEA6DDCBA6}"/>
            </c:ext>
          </c:extLst>
        </c:ser>
        <c:dLbls>
          <c:showLegendKey val="0"/>
          <c:showVal val="0"/>
          <c:showCatName val="0"/>
          <c:showSerName val="0"/>
          <c:showPercent val="0"/>
          <c:showBubbleSize val="0"/>
        </c:dLbls>
        <c:gapWidth val="150"/>
        <c:shape val="box"/>
        <c:axId val="585161200"/>
        <c:axId val="433958816"/>
        <c:axId val="0"/>
      </c:bar3DChart>
      <c:catAx>
        <c:axId val="585161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433958816"/>
        <c:crosses val="autoZero"/>
        <c:auto val="1"/>
        <c:lblAlgn val="ctr"/>
        <c:lblOffset val="100"/>
        <c:noMultiLvlLbl val="0"/>
      </c:catAx>
      <c:valAx>
        <c:axId val="4339588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16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[Live Cleaning1.xlsx]PIVOT!PivotTable8</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COUNT</a:t>
            </a:r>
            <a:r>
              <a:rPr lang="en-US" baseline="0"/>
              <a:t> OF STUDENT BY GRADE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PIVOT!$B$46</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PIVOT!$A$47:$A$51</c:f>
              <c:strCache>
                <c:ptCount val="4"/>
                <c:pt idx="0">
                  <c:v>A</c:v>
                </c:pt>
                <c:pt idx="1">
                  <c:v>B</c:v>
                </c:pt>
                <c:pt idx="2">
                  <c:v>C</c:v>
                </c:pt>
                <c:pt idx="3">
                  <c:v>U</c:v>
                </c:pt>
              </c:strCache>
            </c:strRef>
          </c:cat>
          <c:val>
            <c:numRef>
              <c:f>PIVOT!$B$47:$B$51</c:f>
              <c:numCache>
                <c:formatCode>General</c:formatCode>
                <c:ptCount val="4"/>
                <c:pt idx="0">
                  <c:v>7</c:v>
                </c:pt>
                <c:pt idx="1">
                  <c:v>12</c:v>
                </c:pt>
                <c:pt idx="2">
                  <c:v>16</c:v>
                </c:pt>
                <c:pt idx="3">
                  <c:v>4</c:v>
                </c:pt>
              </c:numCache>
            </c:numRef>
          </c:val>
          <c:smooth val="0"/>
          <c:extLst>
            <c:ext xmlns:c16="http://schemas.microsoft.com/office/drawing/2014/chart" uri="{C3380CC4-5D6E-409C-BE32-E72D297353CC}">
              <c16:uniqueId val="{00000000-ABB1-4522-AC82-B07EF238F3B7}"/>
            </c:ext>
          </c:extLst>
        </c:ser>
        <c:dLbls>
          <c:showLegendKey val="0"/>
          <c:showVal val="0"/>
          <c:showCatName val="0"/>
          <c:showSerName val="0"/>
          <c:showPercent val="0"/>
          <c:showBubbleSize val="0"/>
        </c:dLbls>
        <c:marker val="1"/>
        <c:smooth val="0"/>
        <c:axId val="949254080"/>
        <c:axId val="580359728"/>
      </c:lineChart>
      <c:catAx>
        <c:axId val="949254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endParaRPr lang="en-US"/>
          </a:p>
        </c:txPr>
        <c:crossAx val="580359728"/>
        <c:crosses val="autoZero"/>
        <c:auto val="1"/>
        <c:lblAlgn val="ctr"/>
        <c:lblOffset val="100"/>
        <c:noMultiLvlLbl val="0"/>
      </c:catAx>
      <c:valAx>
        <c:axId val="580359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endParaRPr lang="en-US"/>
          </a:p>
        </c:txPr>
        <c:crossAx val="94925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[Live Cleaning1.xlsx]PIVOT!PivotTable11</c:name>
    <c:fmtId val="0"/>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COUNT OF STUDENTS BY CITY AND GENDER</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PIVOT!$B$89:$B$90</c:f>
              <c:strCache>
                <c:ptCount val="1"/>
                <c:pt idx="0">
                  <c:v>F</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PIVOT!$A$91:$A$98</c:f>
              <c:strCache>
                <c:ptCount val="7"/>
                <c:pt idx="0">
                  <c:v>Chennai</c:v>
                </c:pt>
                <c:pt idx="1">
                  <c:v>Coimbatore</c:v>
                </c:pt>
                <c:pt idx="2">
                  <c:v>Pudhukottai</c:v>
                </c:pt>
                <c:pt idx="3">
                  <c:v>Salem</c:v>
                </c:pt>
                <c:pt idx="4">
                  <c:v>Tenkasi</c:v>
                </c:pt>
                <c:pt idx="5">
                  <c:v>Trichy</c:v>
                </c:pt>
                <c:pt idx="6">
                  <c:v>Vellore</c:v>
                </c:pt>
              </c:strCache>
            </c:strRef>
          </c:cat>
          <c:val>
            <c:numRef>
              <c:f>PIVOT!$B$91:$B$98</c:f>
              <c:numCache>
                <c:formatCode>General</c:formatCode>
                <c:ptCount val="7"/>
                <c:pt idx="0">
                  <c:v>1</c:v>
                </c:pt>
                <c:pt idx="1">
                  <c:v>1</c:v>
                </c:pt>
                <c:pt idx="2">
                  <c:v>3</c:v>
                </c:pt>
                <c:pt idx="3">
                  <c:v>4</c:v>
                </c:pt>
                <c:pt idx="4">
                  <c:v>2</c:v>
                </c:pt>
                <c:pt idx="5">
                  <c:v>3</c:v>
                </c:pt>
                <c:pt idx="6">
                  <c:v>1</c:v>
                </c:pt>
              </c:numCache>
            </c:numRef>
          </c:val>
          <c:extLst>
            <c:ext xmlns:c16="http://schemas.microsoft.com/office/drawing/2014/chart" uri="{C3380CC4-5D6E-409C-BE32-E72D297353CC}">
              <c16:uniqueId val="{00000000-AFBF-489B-85C2-ADEC1759BADC}"/>
            </c:ext>
          </c:extLst>
        </c:ser>
        <c:dLbls>
          <c:showLegendKey val="0"/>
          <c:showVal val="0"/>
          <c:showCatName val="0"/>
          <c:showSerName val="0"/>
          <c:showPercent val="0"/>
          <c:showBubbleSize val="0"/>
        </c:dLbls>
        <c:gapWidth val="219"/>
        <c:overlap val="100"/>
        <c:axId val="660457376"/>
        <c:axId val="580376784"/>
      </c:barChart>
      <c:lineChart>
        <c:grouping val="standard"/>
        <c:varyColors val="0"/>
        <c:ser>
          <c:idx val="1"/>
          <c:order val="1"/>
          <c:tx>
            <c:strRef>
              <c:f>PIVOT!$C$89:$C$90</c:f>
              <c:strCache>
                <c:ptCount val="1"/>
                <c:pt idx="0">
                  <c:v>M</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PIVOT!$A$91:$A$98</c:f>
              <c:strCache>
                <c:ptCount val="7"/>
                <c:pt idx="0">
                  <c:v>Chennai</c:v>
                </c:pt>
                <c:pt idx="1">
                  <c:v>Coimbatore</c:v>
                </c:pt>
                <c:pt idx="2">
                  <c:v>Pudhukottai</c:v>
                </c:pt>
                <c:pt idx="3">
                  <c:v>Salem</c:v>
                </c:pt>
                <c:pt idx="4">
                  <c:v>Tenkasi</c:v>
                </c:pt>
                <c:pt idx="5">
                  <c:v>Trichy</c:v>
                </c:pt>
                <c:pt idx="6">
                  <c:v>Vellore</c:v>
                </c:pt>
              </c:strCache>
            </c:strRef>
          </c:cat>
          <c:val>
            <c:numRef>
              <c:f>PIVOT!$C$91:$C$98</c:f>
              <c:numCache>
                <c:formatCode>General</c:formatCode>
                <c:ptCount val="7"/>
                <c:pt idx="0">
                  <c:v>6</c:v>
                </c:pt>
                <c:pt idx="1">
                  <c:v>5</c:v>
                </c:pt>
                <c:pt idx="2">
                  <c:v>1</c:v>
                </c:pt>
                <c:pt idx="3">
                  <c:v>2</c:v>
                </c:pt>
                <c:pt idx="4">
                  <c:v>4</c:v>
                </c:pt>
                <c:pt idx="5">
                  <c:v>2</c:v>
                </c:pt>
                <c:pt idx="6">
                  <c:v>4</c:v>
                </c:pt>
              </c:numCache>
            </c:numRef>
          </c:val>
          <c:smooth val="0"/>
          <c:extLst>
            <c:ext xmlns:c16="http://schemas.microsoft.com/office/drawing/2014/chart" uri="{C3380CC4-5D6E-409C-BE32-E72D297353CC}">
              <c16:uniqueId val="{00000001-AFBF-489B-85C2-ADEC1759BADC}"/>
            </c:ext>
          </c:extLst>
        </c:ser>
        <c:dLbls>
          <c:showLegendKey val="0"/>
          <c:showVal val="0"/>
          <c:showCatName val="0"/>
          <c:showSerName val="0"/>
          <c:showPercent val="0"/>
          <c:showBubbleSize val="0"/>
        </c:dLbls>
        <c:marker val="1"/>
        <c:smooth val="0"/>
        <c:axId val="660457376"/>
        <c:axId val="580376784"/>
      </c:lineChart>
      <c:valAx>
        <c:axId val="580376784"/>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457376"/>
        <c:crosses val="max"/>
        <c:crossBetween val="between"/>
      </c:valAx>
      <c:catAx>
        <c:axId val="66045737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03767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[Live Cleaning1.xlsx]PIVOT!PivotTable3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MARK BY DEPT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C11-4C8E-9AAF-F322369F397D}"/>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C11-4C8E-9AAF-F322369F397D}"/>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C11-4C8E-9AAF-F322369F397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PIVOT!$A$4:$A$7</c:f>
              <c:strCache>
                <c:ptCount val="3"/>
                <c:pt idx="0">
                  <c:v>Arts</c:v>
                </c:pt>
                <c:pt idx="1">
                  <c:v>Commerce</c:v>
                </c:pt>
                <c:pt idx="2">
                  <c:v>Science</c:v>
                </c:pt>
              </c:strCache>
            </c:strRef>
          </c:cat>
          <c:val>
            <c:numRef>
              <c:f>PIVOT!$B$4:$B$7</c:f>
              <c:numCache>
                <c:formatCode>0</c:formatCode>
                <c:ptCount val="3"/>
                <c:pt idx="0">
                  <c:v>65.416666666666671</c:v>
                </c:pt>
                <c:pt idx="1">
                  <c:v>65.599999999999994</c:v>
                </c:pt>
                <c:pt idx="2">
                  <c:v>63.5</c:v>
                </c:pt>
              </c:numCache>
            </c:numRef>
          </c:val>
          <c:extLst>
            <c:ext xmlns:c16="http://schemas.microsoft.com/office/drawing/2014/chart" uri="{C3380CC4-5D6E-409C-BE32-E72D297353CC}">
              <c16:uniqueId val="{00000006-EC11-4C8E-9AAF-F322369F397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[Live Cleaning1.xlsx]PIVOT!PivotTable4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students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PIVOT!$B$10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PIVOT!$A$11:$A$18</c:f>
              <c:strCache>
                <c:ptCount val="7"/>
                <c:pt idx="0">
                  <c:v>Chennai</c:v>
                </c:pt>
                <c:pt idx="1">
                  <c:v>Coimbatore</c:v>
                </c:pt>
                <c:pt idx="2">
                  <c:v>Pudhukottai</c:v>
                </c:pt>
                <c:pt idx="3">
                  <c:v>Salem</c:v>
                </c:pt>
                <c:pt idx="4">
                  <c:v>Tenkasi</c:v>
                </c:pt>
                <c:pt idx="5">
                  <c:v>Trichy</c:v>
                </c:pt>
                <c:pt idx="6">
                  <c:v>Vellore</c:v>
                </c:pt>
              </c:strCache>
            </c:strRef>
          </c:cat>
          <c:val>
            <c:numRef>
              <c:f>PIVOT!$B$11:$B$18</c:f>
              <c:numCache>
                <c:formatCode>General</c:formatCode>
                <c:ptCount val="7"/>
                <c:pt idx="0">
                  <c:v>7</c:v>
                </c:pt>
                <c:pt idx="1">
                  <c:v>6</c:v>
                </c:pt>
                <c:pt idx="2">
                  <c:v>4</c:v>
                </c:pt>
                <c:pt idx="3">
                  <c:v>6</c:v>
                </c:pt>
                <c:pt idx="4">
                  <c:v>6</c:v>
                </c:pt>
                <c:pt idx="5">
                  <c:v>5</c:v>
                </c:pt>
                <c:pt idx="6">
                  <c:v>5</c:v>
                </c:pt>
              </c:numCache>
            </c:numRef>
          </c:val>
          <c:extLst>
            <c:ext xmlns:c16="http://schemas.microsoft.com/office/drawing/2014/chart" uri="{C3380CC4-5D6E-409C-BE32-E72D297353CC}">
              <c16:uniqueId val="{00000000-8FA8-48C0-9AFF-9D4031DFC3D5}"/>
            </c:ext>
          </c:extLst>
        </c:ser>
        <c:dLbls>
          <c:showLegendKey val="0"/>
          <c:showVal val="0"/>
          <c:showCatName val="0"/>
          <c:showSerName val="0"/>
          <c:showPercent val="0"/>
          <c:showBubbleSize val="0"/>
        </c:dLbls>
        <c:gapWidth val="150"/>
        <c:shape val="box"/>
        <c:axId val="579827488"/>
        <c:axId val="580358896"/>
        <c:axId val="0"/>
      </c:bar3DChart>
      <c:catAx>
        <c:axId val="5798274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580358896"/>
        <c:crosses val="autoZero"/>
        <c:auto val="1"/>
        <c:lblAlgn val="ctr"/>
        <c:lblOffset val="100"/>
        <c:noMultiLvlLbl val="0"/>
      </c:catAx>
      <c:valAx>
        <c:axId val="5803588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57982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[Live Cleaning1.xlsx]PIVOT!PivotTable6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a:t>
            </a:r>
            <a:r>
              <a:rPr lang="en-IN" baseline="0"/>
              <a:t> MARK BY GENDER AND DEPT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1111111111111112E-2"/>
              <c:y val="0.2407407407407406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888888888888878"/>
              <c:y val="-4.629629629629633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277777777777777"/>
              <c:y val="-0.1250000000000000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2777777777777778E-2"/>
              <c:y val="-0.1203703703703703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6111111111111108E-2"/>
              <c:y val="0.1990740740740740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1666666666666664E-2"/>
              <c:y val="-7.40740740740740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1666666666666664E-2"/>
              <c:y val="-7.40740740740740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2777777777777778E-2"/>
              <c:y val="-0.1203703703703703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1111111111111112E-2"/>
              <c:y val="0.2407407407407406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6111111111111108E-2"/>
              <c:y val="0.1990740740740740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277777777777777"/>
              <c:y val="-0.1250000000000000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888888888888878"/>
              <c:y val="-4.629629629629633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1666666666666664E-2"/>
              <c:y val="-7.40740740740740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2777777777777778E-2"/>
              <c:y val="-0.1203703703703703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1111111111111112E-2"/>
              <c:y val="0.2407407407407406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6111111111111108E-2"/>
              <c:y val="0.1990740740740740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277777777777777"/>
              <c:y val="-0.1250000000000000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888888888888878"/>
              <c:y val="-4.629629629629633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PIVOT!$B$29:$B$30</c:f>
              <c:strCache>
                <c:ptCount val="1"/>
                <c:pt idx="0">
                  <c:v>F</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0-8468-480D-82DC-9404B87D0A5C}"/>
              </c:ext>
            </c:extLst>
          </c:dPt>
          <c:dPt>
            <c:idx val="1"/>
            <c:invertIfNegative val="0"/>
            <c:bubble3D val="0"/>
            <c:extLst>
              <c:ext xmlns:c16="http://schemas.microsoft.com/office/drawing/2014/chart" uri="{C3380CC4-5D6E-409C-BE32-E72D297353CC}">
                <c16:uniqueId val="{00000001-8468-480D-82DC-9404B87D0A5C}"/>
              </c:ext>
            </c:extLst>
          </c:dPt>
          <c:dPt>
            <c:idx val="2"/>
            <c:invertIfNegative val="0"/>
            <c:bubble3D val="0"/>
            <c:extLst>
              <c:ext xmlns:c16="http://schemas.microsoft.com/office/drawing/2014/chart" uri="{C3380CC4-5D6E-409C-BE32-E72D297353CC}">
                <c16:uniqueId val="{00000002-8468-480D-82DC-9404B87D0A5C}"/>
              </c:ext>
            </c:extLst>
          </c:dPt>
          <c:dLbls>
            <c:dLbl>
              <c:idx val="0"/>
              <c:layout>
                <c:manualLayout>
                  <c:x val="-4.1666666666666664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68-480D-82DC-9404B87D0A5C}"/>
                </c:ext>
              </c:extLst>
            </c:dLbl>
            <c:dLbl>
              <c:idx val="1"/>
              <c:layout>
                <c:manualLayout>
                  <c:x val="-5.2777777777777778E-2"/>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68-480D-82DC-9404B87D0A5C}"/>
                </c:ext>
              </c:extLst>
            </c:dLbl>
            <c:dLbl>
              <c:idx val="2"/>
              <c:layout>
                <c:manualLayout>
                  <c:x val="1.1111111111111112E-2"/>
                  <c:y val="0.240740740740740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68-480D-82DC-9404B87D0A5C}"/>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PIVOT!$A$31:$A$34</c:f>
              <c:strCache>
                <c:ptCount val="3"/>
                <c:pt idx="0">
                  <c:v>Arts</c:v>
                </c:pt>
                <c:pt idx="1">
                  <c:v>Commerce</c:v>
                </c:pt>
                <c:pt idx="2">
                  <c:v>Science</c:v>
                </c:pt>
              </c:strCache>
            </c:strRef>
          </c:cat>
          <c:val>
            <c:numRef>
              <c:f>PIVOT!$B$31:$B$34</c:f>
              <c:numCache>
                <c:formatCode>0.00</c:formatCode>
                <c:ptCount val="3"/>
                <c:pt idx="0">
                  <c:v>63.6</c:v>
                </c:pt>
                <c:pt idx="1">
                  <c:v>67.5</c:v>
                </c:pt>
                <c:pt idx="2">
                  <c:v>55.166666666666664</c:v>
                </c:pt>
              </c:numCache>
            </c:numRef>
          </c:val>
          <c:extLst>
            <c:ext xmlns:c16="http://schemas.microsoft.com/office/drawing/2014/chart" uri="{C3380CC4-5D6E-409C-BE32-E72D297353CC}">
              <c16:uniqueId val="{00000003-8468-480D-82DC-9404B87D0A5C}"/>
            </c:ext>
          </c:extLst>
        </c:ser>
        <c:ser>
          <c:idx val="1"/>
          <c:order val="1"/>
          <c:tx>
            <c:strRef>
              <c:f>PIVOT!$C$29:$C$30</c:f>
              <c:strCache>
                <c:ptCount val="1"/>
                <c:pt idx="0">
                  <c:v>M</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4-8468-480D-82DC-9404B87D0A5C}"/>
              </c:ext>
            </c:extLst>
          </c:dPt>
          <c:dPt>
            <c:idx val="1"/>
            <c:invertIfNegative val="0"/>
            <c:bubble3D val="0"/>
            <c:extLst>
              <c:ext xmlns:c16="http://schemas.microsoft.com/office/drawing/2014/chart" uri="{C3380CC4-5D6E-409C-BE32-E72D297353CC}">
                <c16:uniqueId val="{00000005-8468-480D-82DC-9404B87D0A5C}"/>
              </c:ext>
            </c:extLst>
          </c:dPt>
          <c:dPt>
            <c:idx val="2"/>
            <c:invertIfNegative val="0"/>
            <c:bubble3D val="0"/>
            <c:extLst>
              <c:ext xmlns:c16="http://schemas.microsoft.com/office/drawing/2014/chart" uri="{C3380CC4-5D6E-409C-BE32-E72D297353CC}">
                <c16:uniqueId val="{00000006-8468-480D-82DC-9404B87D0A5C}"/>
              </c:ext>
            </c:extLst>
          </c:dPt>
          <c:dLbls>
            <c:dLbl>
              <c:idx val="0"/>
              <c:layout>
                <c:manualLayout>
                  <c:x val="3.6111111111111108E-2"/>
                  <c:y val="0.199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68-480D-82DC-9404B87D0A5C}"/>
                </c:ext>
              </c:extLst>
            </c:dLbl>
            <c:dLbl>
              <c:idx val="1"/>
              <c:layout>
                <c:manualLayout>
                  <c:x val="0.10277777777777777"/>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68-480D-82DC-9404B87D0A5C}"/>
                </c:ext>
              </c:extLst>
            </c:dLbl>
            <c:dLbl>
              <c:idx val="2"/>
              <c:layout>
                <c:manualLayout>
                  <c:x val="0.13888888888888878"/>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468-480D-82DC-9404B87D0A5C}"/>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PIVOT!$A$31:$A$34</c:f>
              <c:strCache>
                <c:ptCount val="3"/>
                <c:pt idx="0">
                  <c:v>Arts</c:v>
                </c:pt>
                <c:pt idx="1">
                  <c:v>Commerce</c:v>
                </c:pt>
                <c:pt idx="2">
                  <c:v>Science</c:v>
                </c:pt>
              </c:strCache>
            </c:strRef>
          </c:cat>
          <c:val>
            <c:numRef>
              <c:f>PIVOT!$C$31:$C$34</c:f>
              <c:numCache>
                <c:formatCode>0.00</c:formatCode>
                <c:ptCount val="3"/>
                <c:pt idx="0">
                  <c:v>66.714285714285708</c:v>
                </c:pt>
                <c:pt idx="1">
                  <c:v>64.909090909090907</c:v>
                </c:pt>
                <c:pt idx="2">
                  <c:v>71.833333333333329</c:v>
                </c:pt>
              </c:numCache>
            </c:numRef>
          </c:val>
          <c:extLst>
            <c:ext xmlns:c16="http://schemas.microsoft.com/office/drawing/2014/chart" uri="{C3380CC4-5D6E-409C-BE32-E72D297353CC}">
              <c16:uniqueId val="{00000007-8468-480D-82DC-9404B87D0A5C}"/>
            </c:ext>
          </c:extLst>
        </c:ser>
        <c:dLbls>
          <c:showLegendKey val="0"/>
          <c:showVal val="0"/>
          <c:showCatName val="0"/>
          <c:showSerName val="0"/>
          <c:showPercent val="0"/>
          <c:showBubbleSize val="0"/>
        </c:dLbls>
        <c:gapWidth val="150"/>
        <c:shape val="box"/>
        <c:axId val="585161200"/>
        <c:axId val="433958816"/>
        <c:axId val="0"/>
      </c:bar3DChart>
      <c:catAx>
        <c:axId val="585161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433958816"/>
        <c:crosses val="autoZero"/>
        <c:auto val="1"/>
        <c:lblAlgn val="ctr"/>
        <c:lblOffset val="100"/>
        <c:noMultiLvlLbl val="0"/>
      </c:catAx>
      <c:valAx>
        <c:axId val="4339588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16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[Live Cleaning1.xlsx]PIVOT!PivotTable8</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COUNT</a:t>
            </a:r>
            <a:r>
              <a:rPr lang="en-US" baseline="0"/>
              <a:t> OF STUDENT BY GRADE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PIVOT!$B$46</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PIVOT!$A$47:$A$51</c:f>
              <c:strCache>
                <c:ptCount val="4"/>
                <c:pt idx="0">
                  <c:v>A</c:v>
                </c:pt>
                <c:pt idx="1">
                  <c:v>B</c:v>
                </c:pt>
                <c:pt idx="2">
                  <c:v>C</c:v>
                </c:pt>
                <c:pt idx="3">
                  <c:v>U</c:v>
                </c:pt>
              </c:strCache>
            </c:strRef>
          </c:cat>
          <c:val>
            <c:numRef>
              <c:f>PIVOT!$B$47:$B$51</c:f>
              <c:numCache>
                <c:formatCode>General</c:formatCode>
                <c:ptCount val="4"/>
                <c:pt idx="0">
                  <c:v>7</c:v>
                </c:pt>
                <c:pt idx="1">
                  <c:v>12</c:v>
                </c:pt>
                <c:pt idx="2">
                  <c:v>16</c:v>
                </c:pt>
                <c:pt idx="3">
                  <c:v>4</c:v>
                </c:pt>
              </c:numCache>
            </c:numRef>
          </c:val>
          <c:smooth val="0"/>
          <c:extLst>
            <c:ext xmlns:c16="http://schemas.microsoft.com/office/drawing/2014/chart" uri="{C3380CC4-5D6E-409C-BE32-E72D297353CC}">
              <c16:uniqueId val="{00000000-F727-4079-A0F2-BA06C08B02A6}"/>
            </c:ext>
          </c:extLst>
        </c:ser>
        <c:dLbls>
          <c:showLegendKey val="0"/>
          <c:showVal val="0"/>
          <c:showCatName val="0"/>
          <c:showSerName val="0"/>
          <c:showPercent val="0"/>
          <c:showBubbleSize val="0"/>
        </c:dLbls>
        <c:marker val="1"/>
        <c:smooth val="0"/>
        <c:axId val="949254080"/>
        <c:axId val="580359728"/>
      </c:lineChart>
      <c:catAx>
        <c:axId val="949254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endParaRPr lang="en-US"/>
          </a:p>
        </c:txPr>
        <c:crossAx val="580359728"/>
        <c:crosses val="autoZero"/>
        <c:auto val="1"/>
        <c:lblAlgn val="ctr"/>
        <c:lblOffset val="100"/>
        <c:noMultiLvlLbl val="0"/>
      </c:catAx>
      <c:valAx>
        <c:axId val="580359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endParaRPr lang="en-US"/>
          </a:p>
        </c:txPr>
        <c:crossAx val="94925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[Live Cleaning1.xlsx]PIVOT!PivotTable11</c:name>
    <c:fmtId val="2"/>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COUNT OF STUDENTS BY CITY AND GENDER</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PIVOT!$B$89:$B$90</c:f>
              <c:strCache>
                <c:ptCount val="1"/>
                <c:pt idx="0">
                  <c:v>F</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PIVOT!$A$91:$A$98</c:f>
              <c:strCache>
                <c:ptCount val="7"/>
                <c:pt idx="0">
                  <c:v>Chennai</c:v>
                </c:pt>
                <c:pt idx="1">
                  <c:v>Coimbatore</c:v>
                </c:pt>
                <c:pt idx="2">
                  <c:v>Pudhukottai</c:v>
                </c:pt>
                <c:pt idx="3">
                  <c:v>Salem</c:v>
                </c:pt>
                <c:pt idx="4">
                  <c:v>Tenkasi</c:v>
                </c:pt>
                <c:pt idx="5">
                  <c:v>Trichy</c:v>
                </c:pt>
                <c:pt idx="6">
                  <c:v>Vellore</c:v>
                </c:pt>
              </c:strCache>
            </c:strRef>
          </c:cat>
          <c:val>
            <c:numRef>
              <c:f>PIVOT!$B$91:$B$98</c:f>
              <c:numCache>
                <c:formatCode>General</c:formatCode>
                <c:ptCount val="7"/>
                <c:pt idx="0">
                  <c:v>1</c:v>
                </c:pt>
                <c:pt idx="1">
                  <c:v>1</c:v>
                </c:pt>
                <c:pt idx="2">
                  <c:v>3</c:v>
                </c:pt>
                <c:pt idx="3">
                  <c:v>4</c:v>
                </c:pt>
                <c:pt idx="4">
                  <c:v>2</c:v>
                </c:pt>
                <c:pt idx="5">
                  <c:v>3</c:v>
                </c:pt>
                <c:pt idx="6">
                  <c:v>1</c:v>
                </c:pt>
              </c:numCache>
            </c:numRef>
          </c:val>
          <c:extLst>
            <c:ext xmlns:c16="http://schemas.microsoft.com/office/drawing/2014/chart" uri="{C3380CC4-5D6E-409C-BE32-E72D297353CC}">
              <c16:uniqueId val="{00000000-C9AE-45FA-ACB4-67959E60443D}"/>
            </c:ext>
          </c:extLst>
        </c:ser>
        <c:dLbls>
          <c:showLegendKey val="0"/>
          <c:showVal val="0"/>
          <c:showCatName val="0"/>
          <c:showSerName val="0"/>
          <c:showPercent val="0"/>
          <c:showBubbleSize val="0"/>
        </c:dLbls>
        <c:gapWidth val="219"/>
        <c:overlap val="100"/>
        <c:axId val="660457376"/>
        <c:axId val="580376784"/>
      </c:barChart>
      <c:lineChart>
        <c:grouping val="standard"/>
        <c:varyColors val="0"/>
        <c:ser>
          <c:idx val="1"/>
          <c:order val="1"/>
          <c:tx>
            <c:strRef>
              <c:f>PIVOT!$C$89:$C$90</c:f>
              <c:strCache>
                <c:ptCount val="1"/>
                <c:pt idx="0">
                  <c:v>M</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PIVOT!$A$91:$A$98</c:f>
              <c:strCache>
                <c:ptCount val="7"/>
                <c:pt idx="0">
                  <c:v>Chennai</c:v>
                </c:pt>
                <c:pt idx="1">
                  <c:v>Coimbatore</c:v>
                </c:pt>
                <c:pt idx="2">
                  <c:v>Pudhukottai</c:v>
                </c:pt>
                <c:pt idx="3">
                  <c:v>Salem</c:v>
                </c:pt>
                <c:pt idx="4">
                  <c:v>Tenkasi</c:v>
                </c:pt>
                <c:pt idx="5">
                  <c:v>Trichy</c:v>
                </c:pt>
                <c:pt idx="6">
                  <c:v>Vellore</c:v>
                </c:pt>
              </c:strCache>
            </c:strRef>
          </c:cat>
          <c:val>
            <c:numRef>
              <c:f>PIVOT!$C$91:$C$98</c:f>
              <c:numCache>
                <c:formatCode>General</c:formatCode>
                <c:ptCount val="7"/>
                <c:pt idx="0">
                  <c:v>6</c:v>
                </c:pt>
                <c:pt idx="1">
                  <c:v>5</c:v>
                </c:pt>
                <c:pt idx="2">
                  <c:v>1</c:v>
                </c:pt>
                <c:pt idx="3">
                  <c:v>2</c:v>
                </c:pt>
                <c:pt idx="4">
                  <c:v>4</c:v>
                </c:pt>
                <c:pt idx="5">
                  <c:v>2</c:v>
                </c:pt>
                <c:pt idx="6">
                  <c:v>4</c:v>
                </c:pt>
              </c:numCache>
            </c:numRef>
          </c:val>
          <c:smooth val="0"/>
          <c:extLst>
            <c:ext xmlns:c16="http://schemas.microsoft.com/office/drawing/2014/chart" uri="{C3380CC4-5D6E-409C-BE32-E72D297353CC}">
              <c16:uniqueId val="{00000001-C9AE-45FA-ACB4-67959E60443D}"/>
            </c:ext>
          </c:extLst>
        </c:ser>
        <c:dLbls>
          <c:showLegendKey val="0"/>
          <c:showVal val="0"/>
          <c:showCatName val="0"/>
          <c:showSerName val="0"/>
          <c:showPercent val="0"/>
          <c:showBubbleSize val="0"/>
        </c:dLbls>
        <c:marker val="1"/>
        <c:smooth val="0"/>
        <c:axId val="660457376"/>
        <c:axId val="580376784"/>
      </c:lineChart>
      <c:valAx>
        <c:axId val="580376784"/>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457376"/>
        <c:crosses val="max"/>
        <c:crossBetween val="between"/>
      </c:valAx>
      <c:catAx>
        <c:axId val="66045737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03767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274320</xdr:colOff>
      <xdr:row>2</xdr:row>
      <xdr:rowOff>53340</xdr:rowOff>
    </xdr:from>
    <xdr:to>
      <xdr:col>8</xdr:col>
      <xdr:colOff>495300</xdr:colOff>
      <xdr:row>21</xdr:row>
      <xdr:rowOff>30480</xdr:rowOff>
    </xdr:to>
    <xdr:graphicFrame macro="">
      <xdr:nvGraphicFramePr>
        <xdr:cNvPr id="2" name="Chart 1">
          <a:extLst>
            <a:ext uri="{FF2B5EF4-FFF2-40B4-BE49-F238E27FC236}">
              <a16:creationId xmlns:a16="http://schemas.microsoft.com/office/drawing/2014/main" id="{FCD6912D-E17B-4E07-92CE-30F2A8EB83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22860</xdr:colOff>
      <xdr:row>5</xdr:row>
      <xdr:rowOff>22860</xdr:rowOff>
    </xdr:from>
    <xdr:to>
      <xdr:col>20</xdr:col>
      <xdr:colOff>327660</xdr:colOff>
      <xdr:row>20</xdr:row>
      <xdr:rowOff>22860</xdr:rowOff>
    </xdr:to>
    <xdr:graphicFrame macro="">
      <xdr:nvGraphicFramePr>
        <xdr:cNvPr id="3" name="Chart 2">
          <a:extLst>
            <a:ext uri="{FF2B5EF4-FFF2-40B4-BE49-F238E27FC236}">
              <a16:creationId xmlns:a16="http://schemas.microsoft.com/office/drawing/2014/main" id="{19123675-E7C0-479C-9683-F73EFC68A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45720</xdr:colOff>
      <xdr:row>20</xdr:row>
      <xdr:rowOff>114300</xdr:rowOff>
    </xdr:from>
    <xdr:to>
      <xdr:col>21</xdr:col>
      <xdr:colOff>350520</xdr:colOff>
      <xdr:row>35</xdr:row>
      <xdr:rowOff>114300</xdr:rowOff>
    </xdr:to>
    <xdr:graphicFrame macro="">
      <xdr:nvGraphicFramePr>
        <xdr:cNvPr id="4" name="Chart 3">
          <a:extLst>
            <a:ext uri="{FF2B5EF4-FFF2-40B4-BE49-F238E27FC236}">
              <a16:creationId xmlns:a16="http://schemas.microsoft.com/office/drawing/2014/main" id="{68A2720B-7C7F-45B4-A366-F27F0D6FD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76200</xdr:colOff>
      <xdr:row>36</xdr:row>
      <xdr:rowOff>106680</xdr:rowOff>
    </xdr:from>
    <xdr:to>
      <xdr:col>11</xdr:col>
      <xdr:colOff>381000</xdr:colOff>
      <xdr:row>51</xdr:row>
      <xdr:rowOff>106680</xdr:rowOff>
    </xdr:to>
    <xdr:graphicFrame macro="">
      <xdr:nvGraphicFramePr>
        <xdr:cNvPr id="5" name="Chart 4">
          <a:extLst>
            <a:ext uri="{FF2B5EF4-FFF2-40B4-BE49-F238E27FC236}">
              <a16:creationId xmlns:a16="http://schemas.microsoft.com/office/drawing/2014/main" id="{B5497850-BD11-4A58-AB53-D3069F6A5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518160</xdr:colOff>
      <xdr:row>57</xdr:row>
      <xdr:rowOff>160020</xdr:rowOff>
    </xdr:from>
    <xdr:to>
      <xdr:col>14</xdr:col>
      <xdr:colOff>213360</xdr:colOff>
      <xdr:row>72</xdr:row>
      <xdr:rowOff>160020</xdr:rowOff>
    </xdr:to>
    <xdr:graphicFrame macro="">
      <xdr:nvGraphicFramePr>
        <xdr:cNvPr id="6" name="Chart 5">
          <a:extLst>
            <a:ext uri="{FF2B5EF4-FFF2-40B4-BE49-F238E27FC236}">
              <a16:creationId xmlns:a16="http://schemas.microsoft.com/office/drawing/2014/main" id="{5AC4408A-4CDD-40F7-8AE6-BA4573BBC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2</xdr:row>
      <xdr:rowOff>60960</xdr:rowOff>
    </xdr:from>
    <xdr:to>
      <xdr:col>4</xdr:col>
      <xdr:colOff>350520</xdr:colOff>
      <xdr:row>16</xdr:row>
      <xdr:rowOff>106680</xdr:rowOff>
    </xdr:to>
    <xdr:graphicFrame macro="">
      <xdr:nvGraphicFramePr>
        <xdr:cNvPr id="2" name="Chart 1">
          <a:extLst>
            <a:ext uri="{FF2B5EF4-FFF2-40B4-BE49-F238E27FC236}">
              <a16:creationId xmlns:a16="http://schemas.microsoft.com/office/drawing/2014/main" id="{A96EEEB3-C8AB-4BDB-9D5C-E0DCB98CE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83820</xdr:colOff>
      <xdr:row>2</xdr:row>
      <xdr:rowOff>60960</xdr:rowOff>
    </xdr:from>
    <xdr:to>
      <xdr:col>23</xdr:col>
      <xdr:colOff>7620</xdr:colOff>
      <xdr:row>28</xdr:row>
      <xdr:rowOff>160020</xdr:rowOff>
    </xdr:to>
    <xdr:graphicFrame macro="">
      <xdr:nvGraphicFramePr>
        <xdr:cNvPr id="3" name="Chart 2">
          <a:extLst>
            <a:ext uri="{FF2B5EF4-FFF2-40B4-BE49-F238E27FC236}">
              <a16:creationId xmlns:a16="http://schemas.microsoft.com/office/drawing/2014/main" id="{60CCF439-3863-41BD-B182-C1AD04E40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396240</xdr:colOff>
      <xdr:row>2</xdr:row>
      <xdr:rowOff>76200</xdr:rowOff>
    </xdr:from>
    <xdr:to>
      <xdr:col>13</xdr:col>
      <xdr:colOff>266700</xdr:colOff>
      <xdr:row>16</xdr:row>
      <xdr:rowOff>91440</xdr:rowOff>
    </xdr:to>
    <xdr:graphicFrame macro="">
      <xdr:nvGraphicFramePr>
        <xdr:cNvPr id="4" name="Chart 3">
          <a:extLst>
            <a:ext uri="{FF2B5EF4-FFF2-40B4-BE49-F238E27FC236}">
              <a16:creationId xmlns:a16="http://schemas.microsoft.com/office/drawing/2014/main" id="{C21D04DC-67DC-48B5-88E5-00D9E5EBE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350520</xdr:colOff>
      <xdr:row>16</xdr:row>
      <xdr:rowOff>114300</xdr:rowOff>
    </xdr:from>
    <xdr:to>
      <xdr:col>12</xdr:col>
      <xdr:colOff>327660</xdr:colOff>
      <xdr:row>29</xdr:row>
      <xdr:rowOff>22860</xdr:rowOff>
    </xdr:to>
    <xdr:graphicFrame macro="">
      <xdr:nvGraphicFramePr>
        <xdr:cNvPr id="5" name="Chart 4">
          <a:extLst>
            <a:ext uri="{FF2B5EF4-FFF2-40B4-BE49-F238E27FC236}">
              <a16:creationId xmlns:a16="http://schemas.microsoft.com/office/drawing/2014/main" id="{C6F052F4-8878-4C22-8CF5-37C28534B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16</xdr:row>
      <xdr:rowOff>121920</xdr:rowOff>
    </xdr:from>
    <xdr:to>
      <xdr:col>6</xdr:col>
      <xdr:colOff>335280</xdr:colOff>
      <xdr:row>29</xdr:row>
      <xdr:rowOff>53340</xdr:rowOff>
    </xdr:to>
    <xdr:graphicFrame macro="">
      <xdr:nvGraphicFramePr>
        <xdr:cNvPr id="6" name="Chart 5">
          <a:extLst>
            <a:ext uri="{FF2B5EF4-FFF2-40B4-BE49-F238E27FC236}">
              <a16:creationId xmlns:a16="http://schemas.microsoft.com/office/drawing/2014/main" id="{732F7A7D-B1BB-435A-8561-2AC0F9460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320040</xdr:colOff>
      <xdr:row>2</xdr:row>
      <xdr:rowOff>91440</xdr:rowOff>
    </xdr:from>
    <xdr:to>
      <xdr:col>17</xdr:col>
      <xdr:colOff>7620</xdr:colOff>
      <xdr:row>9</xdr:row>
      <xdr:rowOff>45719</xdr:rowOff>
    </xdr:to>
    <mc:AlternateContent xmlns:mc="http://schemas.openxmlformats.org/markup-compatibility/2006" xmlns:a14="http://schemas.microsoft.com/office/drawing/2010/main">
      <mc:Choice Requires="a14">
        <xdr:graphicFrame macro="">
          <xdr:nvGraphicFramePr>
            <xdr:cNvPr id="7" name="Dept">
              <a:extLst>
                <a:ext uri="{FF2B5EF4-FFF2-40B4-BE49-F238E27FC236}">
                  <a16:creationId xmlns:a16="http://schemas.microsoft.com/office/drawing/2014/main" id="{D3C6D163-6D36-4129-B6A9-A305773D2409}"/>
                </a:ext>
              </a:extLst>
            </xdr:cNvPr>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mlns="">
        <xdr:sp macro="" textlink="">
          <xdr:nvSpPr>
            <xdr:cNvPr id="0" name=""/>
            <xdr:cNvSpPr>
              <a:spLocks noTextEdit="1"/>
            </xdr:cNvSpPr>
          </xdr:nvSpPr>
          <xdr:spPr>
            <a:xfrm>
              <a:off x="8244840" y="457200"/>
              <a:ext cx="2125980" cy="123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350520</xdr:colOff>
      <xdr:row>16</xdr:row>
      <xdr:rowOff>167640</xdr:rowOff>
    </xdr:from>
    <xdr:to>
      <xdr:col>16</xdr:col>
      <xdr:colOff>510540</xdr:colOff>
      <xdr:row>25</xdr:row>
      <xdr:rowOff>121919</xdr:rowOff>
    </xdr:to>
    <mc:AlternateContent xmlns:mc="http://schemas.openxmlformats.org/markup-compatibility/2006" xmlns:a14="http://schemas.microsoft.com/office/drawing/2010/main">
      <mc:Choice Requires="a14">
        <xdr:graphicFrame macro="">
          <xdr:nvGraphicFramePr>
            <xdr:cNvPr id="8" name="Grade">
              <a:extLst>
                <a:ext uri="{FF2B5EF4-FFF2-40B4-BE49-F238E27FC236}">
                  <a16:creationId xmlns:a16="http://schemas.microsoft.com/office/drawing/2014/main" id="{52AF08D4-2AA4-4A06-ACD3-A0436383B32E}"/>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8884920" y="3093720"/>
              <a:ext cx="1379220" cy="1600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373380</xdr:colOff>
      <xdr:row>16</xdr:row>
      <xdr:rowOff>160021</xdr:rowOff>
    </xdr:from>
    <xdr:to>
      <xdr:col>14</xdr:col>
      <xdr:colOff>266700</xdr:colOff>
      <xdr:row>29</xdr:row>
      <xdr:rowOff>7621</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3C35D151-2542-47EB-86DE-96713952D4C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688580" y="3086101"/>
              <a:ext cx="1112520" cy="2225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320040</xdr:colOff>
      <xdr:row>9</xdr:row>
      <xdr:rowOff>152400</xdr:rowOff>
    </xdr:from>
    <xdr:to>
      <xdr:col>16</xdr:col>
      <xdr:colOff>601980</xdr:colOff>
      <xdr:row>15</xdr:row>
      <xdr:rowOff>152399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CA8DCFB8-07FE-42F3-BF5F-FE1EEA5A9EF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244840" y="1798320"/>
              <a:ext cx="2110740" cy="1097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TASET_FINA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an M" refreshedDate="45853.452103819443" createdVersion="6" refreshedVersion="6" minRefreshableVersion="3" recordCount="39" xr:uid="{480ADBFA-9F5B-484A-B672-41BA7D8C1F30}">
  <cacheSource type="worksheet">
    <worksheetSource ref="A1:K40" sheet="Dataset_Cleaned" r:id="rId2"/>
  </cacheSource>
  <cacheFields count="11">
    <cacheField name="Student_ID" numFmtId="0">
      <sharedItems count="37">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haredItems>
    </cacheField>
    <cacheField name="Name" numFmtId="0">
      <sharedItems count="35">
        <s v="Ravi"/>
        <s v="Mohan"/>
        <s v="Deepika"/>
        <s v="Manohar"/>
        <s v="Priyanka"/>
        <s v="Vinoth"/>
        <s v="Shanthi"/>
        <s v="Manimegalai"/>
        <s v="Karthi"/>
        <s v="Mari"/>
        <s v="Mahesh"/>
        <s v="Sangeetha"/>
        <s v="Raghul"/>
        <s v="Jothi"/>
        <s v="Anisha"/>
        <s v="Venkat"/>
        <s v="Chandru"/>
        <s v="Dinesh"/>
        <s v="Poorvika"/>
        <s v="Vimal"/>
        <s v="Parthiban"/>
        <s v="Santhosh"/>
        <s v="Keerthika"/>
        <s v="Reeta"/>
        <s v="Lalitha"/>
        <s v="Sridhar"/>
        <s v="Kavitha"/>
        <s v="Murugesan"/>
        <s v="Gandhi"/>
        <s v="Varshini"/>
        <s v="Indhumathi"/>
        <s v="Janani"/>
        <s v="Bharath"/>
        <s v="Akash"/>
        <s v="Nirmal"/>
      </sharedItems>
    </cacheField>
    <cacheField name="Last Name" numFmtId="0">
      <sharedItems/>
    </cacheField>
    <cacheField name="Dept" numFmtId="0">
      <sharedItems count="3">
        <s v="Arts"/>
        <s v="Commerce"/>
        <s v="Science"/>
      </sharedItems>
    </cacheField>
    <cacheField name="Mark" numFmtId="0">
      <sharedItems containsSemiMixedTypes="0" containsString="0" containsNumber="1" containsInteger="1" minValue="35" maxValue="98"/>
    </cacheField>
    <cacheField name="Grade" numFmtId="0">
      <sharedItems count="4">
        <s v="B"/>
        <s v="U"/>
        <s v="C"/>
        <s v="A"/>
      </sharedItems>
    </cacheField>
    <cacheField name="City" numFmtId="0">
      <sharedItems count="7">
        <s v="Chennai"/>
        <s v="Coimbatore"/>
        <s v="Trichy"/>
        <s v="Salem"/>
        <s v="Pudhukottai"/>
        <s v="Tenkasi"/>
        <s v="Vellore"/>
      </sharedItems>
    </cacheField>
    <cacheField name="Attendance (%)" numFmtId="0">
      <sharedItems containsSemiMixedTypes="0" containsString="0" containsNumber="1" containsInteger="1" minValue="61" maxValue="100" count="23">
        <n v="82"/>
        <n v="83"/>
        <n v="65"/>
        <n v="93"/>
        <n v="73"/>
        <n v="62"/>
        <n v="86"/>
        <n v="96"/>
        <n v="95"/>
        <n v="66"/>
        <n v="61"/>
        <n v="91"/>
        <n v="88"/>
        <n v="90"/>
        <n v="71"/>
        <n v="100"/>
        <n v="67"/>
        <n v="92"/>
        <n v="80"/>
        <n v="84"/>
        <n v="99"/>
        <n v="72"/>
        <n v="87"/>
      </sharedItems>
    </cacheField>
    <cacheField name="Gender" numFmtId="0">
      <sharedItems count="2">
        <s v="M"/>
        <s v="F"/>
      </sharedItems>
    </cacheField>
    <cacheField name="Age" numFmtId="0">
      <sharedItems containsSemiMixedTypes="0" containsString="0" containsNumber="1" containsInteger="1" minValue="21" maxValue="34"/>
    </cacheField>
    <cacheField name="Eligibilty" numFmtId="0" formula=" IF('Attendance (%)'&gt; 75, &quot;E&quot;, &quot;NE&quot;)" databaseField="0"/>
  </cacheFields>
  <extLst>
    <ext xmlns:x14="http://schemas.microsoft.com/office/spreadsheetml/2009/9/main" uri="{725AE2AE-9491-48be-B2B4-4EB974FC3084}">
      <x14:pivotCacheDefinition pivotCacheId="164202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s v="Kumar"/>
    <x v="0"/>
    <n v="76"/>
    <x v="0"/>
    <x v="0"/>
    <x v="0"/>
    <x v="0"/>
    <n v="22"/>
  </r>
  <r>
    <x v="1"/>
    <x v="1"/>
    <s v="Raj"/>
    <x v="1"/>
    <n v="71"/>
    <x v="0"/>
    <x v="1"/>
    <x v="1"/>
    <x v="0"/>
    <n v="34"/>
  </r>
  <r>
    <x v="2"/>
    <x v="2"/>
    <s v="Rani"/>
    <x v="0"/>
    <n v="39"/>
    <x v="1"/>
    <x v="2"/>
    <x v="2"/>
    <x v="1"/>
    <n v="21"/>
  </r>
  <r>
    <x v="3"/>
    <x v="3"/>
    <s v="Babu"/>
    <x v="1"/>
    <n v="72"/>
    <x v="0"/>
    <x v="3"/>
    <x v="3"/>
    <x v="0"/>
    <n v="25"/>
  </r>
  <r>
    <x v="4"/>
    <x v="4"/>
    <s v="Devi"/>
    <x v="2"/>
    <n v="60"/>
    <x v="2"/>
    <x v="4"/>
    <x v="4"/>
    <x v="1"/>
    <n v="23"/>
  </r>
  <r>
    <x v="5"/>
    <x v="5"/>
    <s v="Muthu"/>
    <x v="1"/>
    <n v="84"/>
    <x v="3"/>
    <x v="0"/>
    <x v="5"/>
    <x v="0"/>
    <n v="26"/>
  </r>
  <r>
    <x v="6"/>
    <x v="6"/>
    <s v="Lakshmi"/>
    <x v="0"/>
    <n v="60"/>
    <x v="2"/>
    <x v="5"/>
    <x v="6"/>
    <x v="1"/>
    <n v="29"/>
  </r>
  <r>
    <x v="7"/>
    <x v="7"/>
    <s v="Selvi"/>
    <x v="1"/>
    <n v="98"/>
    <x v="3"/>
    <x v="3"/>
    <x v="7"/>
    <x v="1"/>
    <n v="28"/>
  </r>
  <r>
    <x v="8"/>
    <x v="8"/>
    <s v="Velu"/>
    <x v="1"/>
    <n v="44"/>
    <x v="2"/>
    <x v="1"/>
    <x v="8"/>
    <x v="0"/>
    <n v="22"/>
  </r>
  <r>
    <x v="9"/>
    <x v="9"/>
    <s v="Gopi"/>
    <x v="2"/>
    <n v="94"/>
    <x v="3"/>
    <x v="0"/>
    <x v="9"/>
    <x v="0"/>
    <n v="23"/>
  </r>
  <r>
    <x v="10"/>
    <x v="10"/>
    <s v="Sekar"/>
    <x v="0"/>
    <n v="76"/>
    <x v="0"/>
    <x v="6"/>
    <x v="2"/>
    <x v="0"/>
    <n v="24"/>
  </r>
  <r>
    <x v="11"/>
    <x v="11"/>
    <s v="Raji"/>
    <x v="2"/>
    <n v="51"/>
    <x v="2"/>
    <x v="3"/>
    <x v="10"/>
    <x v="1"/>
    <n v="22"/>
  </r>
  <r>
    <x v="12"/>
    <x v="12"/>
    <s v="Arul"/>
    <x v="0"/>
    <n v="73"/>
    <x v="0"/>
    <x v="1"/>
    <x v="11"/>
    <x v="0"/>
    <n v="25"/>
  </r>
  <r>
    <x v="13"/>
    <x v="13"/>
    <s v="Radha"/>
    <x v="1"/>
    <n v="60"/>
    <x v="2"/>
    <x v="4"/>
    <x v="12"/>
    <x v="1"/>
    <n v="26"/>
  </r>
  <r>
    <x v="14"/>
    <x v="14"/>
    <s v="Meena"/>
    <x v="1"/>
    <n v="41"/>
    <x v="2"/>
    <x v="2"/>
    <x v="12"/>
    <x v="1"/>
    <n v="27"/>
  </r>
  <r>
    <x v="15"/>
    <x v="15"/>
    <s v="Hari"/>
    <x v="1"/>
    <n v="35"/>
    <x v="1"/>
    <x v="0"/>
    <x v="13"/>
    <x v="0"/>
    <n v="22"/>
  </r>
  <r>
    <x v="16"/>
    <x v="16"/>
    <s v="Raja"/>
    <x v="2"/>
    <n v="55"/>
    <x v="2"/>
    <x v="6"/>
    <x v="7"/>
    <x v="0"/>
    <n v="24"/>
  </r>
  <r>
    <x v="17"/>
    <x v="17"/>
    <s v="Kumar"/>
    <x v="0"/>
    <n v="74"/>
    <x v="0"/>
    <x v="6"/>
    <x v="14"/>
    <x v="0"/>
    <n v="23"/>
  </r>
  <r>
    <x v="18"/>
    <x v="18"/>
    <s v="Devi"/>
    <x v="2"/>
    <n v="36"/>
    <x v="1"/>
    <x v="3"/>
    <x v="5"/>
    <x v="1"/>
    <n v="21"/>
  </r>
  <r>
    <x v="19"/>
    <x v="19"/>
    <s v="Arasu"/>
    <x v="1"/>
    <n v="53"/>
    <x v="2"/>
    <x v="6"/>
    <x v="15"/>
    <x v="0"/>
    <n v="25"/>
  </r>
  <r>
    <x v="16"/>
    <x v="16"/>
    <s v="Raja"/>
    <x v="2"/>
    <n v="55"/>
    <x v="2"/>
    <x v="5"/>
    <x v="7"/>
    <x v="0"/>
    <n v="24"/>
  </r>
  <r>
    <x v="20"/>
    <x v="20"/>
    <s v="Bala"/>
    <x v="2"/>
    <n v="80"/>
    <x v="0"/>
    <x v="1"/>
    <x v="16"/>
    <x v="0"/>
    <n v="26"/>
  </r>
  <r>
    <x v="21"/>
    <x v="21"/>
    <s v="Gokul"/>
    <x v="0"/>
    <n v="62"/>
    <x v="0"/>
    <x v="5"/>
    <x v="1"/>
    <x v="0"/>
    <n v="23"/>
  </r>
  <r>
    <x v="22"/>
    <x v="22"/>
    <s v="Divya"/>
    <x v="0"/>
    <n v="98"/>
    <x v="3"/>
    <x v="0"/>
    <x v="17"/>
    <x v="1"/>
    <n v="24"/>
  </r>
  <r>
    <x v="23"/>
    <x v="23"/>
    <s v="Yamuna"/>
    <x v="0"/>
    <n v="41"/>
    <x v="2"/>
    <x v="1"/>
    <x v="5"/>
    <x v="1"/>
    <n v="28"/>
  </r>
  <r>
    <x v="24"/>
    <x v="24"/>
    <s v="Nila"/>
    <x v="2"/>
    <n v="37"/>
    <x v="1"/>
    <x v="6"/>
    <x v="4"/>
    <x v="1"/>
    <n v="25"/>
  </r>
  <r>
    <x v="25"/>
    <x v="25"/>
    <s v="Ramu"/>
    <x v="1"/>
    <n v="76"/>
    <x v="0"/>
    <x v="3"/>
    <x v="18"/>
    <x v="0"/>
    <n v="27"/>
  </r>
  <r>
    <x v="16"/>
    <x v="16"/>
    <s v="Raja"/>
    <x v="2"/>
    <n v="55"/>
    <x v="2"/>
    <x v="5"/>
    <x v="7"/>
    <x v="0"/>
    <n v="24"/>
  </r>
  <r>
    <x v="26"/>
    <x v="26"/>
    <s v="Banu"/>
    <x v="1"/>
    <n v="71"/>
    <x v="0"/>
    <x v="2"/>
    <x v="19"/>
    <x v="1"/>
    <n v="26"/>
  </r>
  <r>
    <x v="27"/>
    <x v="27"/>
    <s v="Kani"/>
    <x v="1"/>
    <n v="53"/>
    <x v="2"/>
    <x v="2"/>
    <x v="2"/>
    <x v="0"/>
    <n v="23"/>
  </r>
  <r>
    <x v="28"/>
    <x v="28"/>
    <s v="Selvam"/>
    <x v="0"/>
    <n v="54"/>
    <x v="2"/>
    <x v="4"/>
    <x v="20"/>
    <x v="0"/>
    <n v="28"/>
  </r>
  <r>
    <x v="29"/>
    <x v="25"/>
    <s v="Ramu"/>
    <x v="1"/>
    <n v="76"/>
    <x v="0"/>
    <x v="0"/>
    <x v="18"/>
    <x v="0"/>
    <n v="27"/>
  </r>
  <r>
    <x v="30"/>
    <x v="29"/>
    <s v="Devi"/>
    <x v="2"/>
    <n v="90"/>
    <x v="3"/>
    <x v="5"/>
    <x v="9"/>
    <x v="1"/>
    <n v="22"/>
  </r>
  <r>
    <x v="31"/>
    <x v="30"/>
    <s v="Nithya"/>
    <x v="0"/>
    <n v="80"/>
    <x v="0"/>
    <x v="3"/>
    <x v="11"/>
    <x v="1"/>
    <n v="29"/>
  </r>
  <r>
    <x v="32"/>
    <x v="31"/>
    <s v="Uma"/>
    <x v="2"/>
    <n v="57"/>
    <x v="2"/>
    <x v="4"/>
    <x v="21"/>
    <x v="1"/>
    <n v="23"/>
  </r>
  <r>
    <x v="33"/>
    <x v="32"/>
    <s v="Guru"/>
    <x v="2"/>
    <n v="92"/>
    <x v="3"/>
    <x v="5"/>
    <x v="22"/>
    <x v="0"/>
    <n v="25"/>
  </r>
  <r>
    <x v="34"/>
    <x v="33"/>
    <s v="Vignesh"/>
    <x v="0"/>
    <n v="52"/>
    <x v="2"/>
    <x v="1"/>
    <x v="19"/>
    <x v="0"/>
    <n v="22"/>
  </r>
  <r>
    <x v="35"/>
    <x v="27"/>
    <s v="Kani"/>
    <x v="1"/>
    <n v="53"/>
    <x v="2"/>
    <x v="2"/>
    <x v="2"/>
    <x v="0"/>
    <n v="23"/>
  </r>
  <r>
    <x v="36"/>
    <x v="34"/>
    <s v="Prakash"/>
    <x v="1"/>
    <n v="97"/>
    <x v="3"/>
    <x v="0"/>
    <x v="12"/>
    <x v="0"/>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EEE554-1E90-4E3A-BC18-BE071D9E1573}"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6:B51" firstHeaderRow="1" firstDataRow="1" firstDataCol="1"/>
  <pivotFields count="11">
    <pivotField dataField="1"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items count="4">
        <item x="0"/>
        <item x="1"/>
        <item x="2"/>
        <item t="default"/>
      </items>
    </pivotField>
    <pivotField showAll="0"/>
    <pivotField axis="axisRow" showAll="0">
      <items count="5">
        <item x="3"/>
        <item x="0"/>
        <item x="2"/>
        <item x="1"/>
        <item t="default"/>
      </items>
    </pivotField>
    <pivotField showAll="0">
      <items count="8">
        <item x="0"/>
        <item x="1"/>
        <item x="4"/>
        <item x="3"/>
        <item x="5"/>
        <item x="2"/>
        <item x="6"/>
        <item t="default"/>
      </items>
    </pivotField>
    <pivotField showAll="0"/>
    <pivotField showAll="0"/>
    <pivotField showAll="0"/>
    <pivotField dragToRow="0" dragToCol="0" dragToPage="0" showAll="0" defaultSubtotal="0"/>
  </pivotFields>
  <rowFields count="1">
    <field x="5"/>
  </rowFields>
  <rowItems count="5">
    <i>
      <x/>
    </i>
    <i>
      <x v="1"/>
    </i>
    <i>
      <x v="2"/>
    </i>
    <i>
      <x v="3"/>
    </i>
    <i t="grand">
      <x/>
    </i>
  </rowItems>
  <colItems count="1">
    <i/>
  </colItems>
  <dataFields count="1">
    <dataField name="Count of Stu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DC3D41-7EB0-48B7-9F41-74E1FE1EA0E2}"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89:D98" firstHeaderRow="1" firstDataRow="2" firstDataCol="1"/>
  <pivotFields count="11">
    <pivotField dataField="1"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items count="4">
        <item x="0"/>
        <item x="1"/>
        <item x="2"/>
        <item t="default"/>
      </items>
    </pivotField>
    <pivotField showAll="0"/>
    <pivotField showAll="0">
      <items count="5">
        <item x="3"/>
        <item x="0"/>
        <item x="2"/>
        <item x="1"/>
        <item t="default"/>
      </items>
    </pivotField>
    <pivotField axis="axisRow" showAll="0">
      <items count="8">
        <item x="0"/>
        <item x="1"/>
        <item x="4"/>
        <item x="3"/>
        <item x="5"/>
        <item x="2"/>
        <item x="6"/>
        <item t="default"/>
      </items>
    </pivotField>
    <pivotField showAll="0"/>
    <pivotField axis="axisCol" showAll="0">
      <items count="3">
        <item x="1"/>
        <item x="0"/>
        <item t="default"/>
      </items>
    </pivotField>
    <pivotField showAll="0"/>
    <pivotField dragToRow="0" dragToCol="0" dragToPage="0" showAll="0" defaultSubtotal="0"/>
  </pivotFields>
  <rowFields count="1">
    <field x="6"/>
  </rowFields>
  <rowItems count="8">
    <i>
      <x/>
    </i>
    <i>
      <x v="1"/>
    </i>
    <i>
      <x v="2"/>
    </i>
    <i>
      <x v="3"/>
    </i>
    <i>
      <x v="4"/>
    </i>
    <i>
      <x v="5"/>
    </i>
    <i>
      <x v="6"/>
    </i>
    <i t="grand">
      <x/>
    </i>
  </rowItems>
  <colFields count="1">
    <field x="8"/>
  </colFields>
  <colItems count="3">
    <i>
      <x/>
    </i>
    <i>
      <x v="1"/>
    </i>
    <i t="grand">
      <x/>
    </i>
  </colItems>
  <dataFields count="1">
    <dataField name="Count of Student_ID" fld="0" subtotal="count" baseField="0" baseItem="0"/>
  </dataField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0"/>
          </reference>
        </references>
      </pivotArea>
    </chartFormat>
    <chartFormat chart="1" format="3" series="1">
      <pivotArea type="data" outline="0" fieldPosition="0">
        <references count="2">
          <reference field="4294967294" count="1" selected="0">
            <x v="0"/>
          </reference>
          <reference field="8" count="1" selected="0">
            <x v="1"/>
          </reference>
        </references>
      </pivotArea>
    </chartFormat>
    <chartFormat chart="2" format="4" series="1">
      <pivotArea type="data" outline="0" fieldPosition="0">
        <references count="2">
          <reference field="4294967294" count="1" selected="0">
            <x v="0"/>
          </reference>
          <reference field="8" count="1" selected="0">
            <x v="0"/>
          </reference>
        </references>
      </pivotArea>
    </chartFormat>
    <chartFormat chart="2"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048300-0EB5-4B71-B5A8-5490AE9E5DF8}"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1">
    <pivotField showAll="0"/>
    <pivotField showAll="0"/>
    <pivotField showAll="0"/>
    <pivotField axis="axisRow" showAll="0">
      <items count="4">
        <item x="0"/>
        <item x="1"/>
        <item x="2"/>
        <item t="default"/>
      </items>
    </pivotField>
    <pivotField dataField="1" showAll="0"/>
    <pivotField showAll="0">
      <items count="5">
        <item x="3"/>
        <item x="0"/>
        <item x="2"/>
        <item x="1"/>
        <item t="default"/>
      </items>
    </pivotField>
    <pivotField showAll="0">
      <items count="8">
        <item x="0"/>
        <item x="1"/>
        <item x="4"/>
        <item x="3"/>
        <item x="5"/>
        <item x="2"/>
        <item x="6"/>
        <item t="default"/>
      </items>
    </pivotField>
    <pivotField showAll="0"/>
    <pivotField showAll="0">
      <items count="3">
        <item x="1"/>
        <item x="0"/>
        <item t="default"/>
      </items>
    </pivotField>
    <pivotField showAll="0"/>
    <pivotField dragToRow="0" dragToCol="0" dragToPage="0" showAll="0" defaultSubtotal="0"/>
  </pivotFields>
  <rowFields count="1">
    <field x="3"/>
  </rowFields>
  <rowItems count="4">
    <i>
      <x/>
    </i>
    <i>
      <x v="1"/>
    </i>
    <i>
      <x v="2"/>
    </i>
    <i t="grand">
      <x/>
    </i>
  </rowItems>
  <colItems count="1">
    <i/>
  </colItems>
  <dataFields count="1">
    <dataField name="Average of Mark" fld="4" subtotal="average" baseField="3" baseItem="0"/>
  </dataFields>
  <formats count="1">
    <format dxfId="5">
      <pivotArea collapsedLevelsAreSubtotals="1" fieldPosition="0">
        <references count="1">
          <reference field="3" count="0"/>
        </references>
      </pivotArea>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1B7654-1FFF-4080-B2F6-C9A9DB40AEDE}"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0:B18" firstHeaderRow="1" firstDataRow="1" firstDataCol="1"/>
  <pivotFields count="11">
    <pivotField dataField="1" showAll="0"/>
    <pivotField showAll="0"/>
    <pivotField showAll="0"/>
    <pivotField showAll="0">
      <items count="4">
        <item x="0"/>
        <item x="1"/>
        <item x="2"/>
        <item t="default"/>
      </items>
    </pivotField>
    <pivotField showAll="0"/>
    <pivotField showAll="0"/>
    <pivotField axis="axisRow" showAll="0">
      <items count="8">
        <item x="0"/>
        <item x="1"/>
        <item x="4"/>
        <item x="3"/>
        <item x="5"/>
        <item x="2"/>
        <item x="6"/>
        <item t="default"/>
      </items>
    </pivotField>
    <pivotField showAll="0"/>
    <pivotField showAll="0"/>
    <pivotField showAll="0"/>
    <pivotField dragToRow="0" dragToCol="0" dragToPage="0" showAll="0" defaultSubtotal="0"/>
  </pivotFields>
  <rowFields count="1">
    <field x="6"/>
  </rowFields>
  <rowItems count="8">
    <i>
      <x/>
    </i>
    <i>
      <x v="1"/>
    </i>
    <i>
      <x v="2"/>
    </i>
    <i>
      <x v="3"/>
    </i>
    <i>
      <x v="4"/>
    </i>
    <i>
      <x v="5"/>
    </i>
    <i>
      <x v="6"/>
    </i>
    <i t="grand">
      <x/>
    </i>
  </rowItems>
  <colItems count="1">
    <i/>
  </colItems>
  <dataFields count="1">
    <dataField name="Count of Stu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EA9B9D-F860-4BBB-8CF7-040CAE8602EA}"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9:B43" firstHeaderRow="1" firstDataRow="1" firstDataCol="1"/>
  <pivotFields count="11">
    <pivotField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items count="36">
        <item x="33"/>
        <item x="14"/>
        <item x="32"/>
        <item x="16"/>
        <item x="2"/>
        <item x="17"/>
        <item x="28"/>
        <item x="30"/>
        <item x="31"/>
        <item x="13"/>
        <item x="8"/>
        <item x="26"/>
        <item x="22"/>
        <item x="24"/>
        <item x="10"/>
        <item x="7"/>
        <item x="3"/>
        <item x="9"/>
        <item x="1"/>
        <item x="27"/>
        <item x="34"/>
        <item x="20"/>
        <item x="18"/>
        <item x="4"/>
        <item x="12"/>
        <item x="0"/>
        <item x="23"/>
        <item x="11"/>
        <item x="21"/>
        <item x="6"/>
        <item x="25"/>
        <item x="29"/>
        <item x="15"/>
        <item x="19"/>
        <item x="5"/>
        <item t="default"/>
      </items>
    </pivotField>
    <pivotField showAll="0"/>
    <pivotField axis="axisRow" showAll="0">
      <items count="4">
        <item x="0"/>
        <item x="1"/>
        <item x="2"/>
        <item t="default"/>
      </items>
    </pivotField>
    <pivotField dataField="1" showAll="0"/>
    <pivotField showAll="0">
      <items count="5">
        <item x="3"/>
        <item x="0"/>
        <item x="2"/>
        <item x="1"/>
        <item t="default"/>
      </items>
    </pivotField>
    <pivotField showAll="0">
      <items count="8">
        <item x="0"/>
        <item x="1"/>
        <item x="4"/>
        <item x="3"/>
        <item x="5"/>
        <item x="2"/>
        <item x="6"/>
        <item t="default"/>
      </items>
    </pivotField>
    <pivotField showAll="0"/>
    <pivotField showAll="0"/>
    <pivotField showAll="0"/>
    <pivotField dragToRow="0" dragToCol="0" dragToPage="0" showAll="0" defaultSubtotal="0"/>
  </pivotFields>
  <rowFields count="1">
    <field x="3"/>
  </rowFields>
  <rowItems count="4">
    <i>
      <x/>
    </i>
    <i>
      <x v="1"/>
    </i>
    <i>
      <x v="2"/>
    </i>
    <i t="grand">
      <x/>
    </i>
  </rowItems>
  <colItems count="1">
    <i/>
  </colItems>
  <dataFields count="1">
    <dataField name="Max of Mark" fld="4" subtotal="max"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57006C-FD39-4FDD-A026-2841F06D9DE7}"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2:B87" firstHeaderRow="1" firstDataRow="1" firstDataCol="1"/>
  <pivotFields count="11">
    <pivotField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items count="4">
        <item x="0"/>
        <item x="1"/>
        <item x="2"/>
        <item t="default"/>
      </items>
    </pivotField>
    <pivotField showAll="0"/>
    <pivotField axis="axisRow" showAll="0">
      <items count="5">
        <item x="3"/>
        <item x="0"/>
        <item x="2"/>
        <item x="1"/>
        <item t="default"/>
      </items>
    </pivotField>
    <pivotField showAll="0">
      <items count="8">
        <item x="0"/>
        <item x="1"/>
        <item x="4"/>
        <item x="3"/>
        <item x="5"/>
        <item x="2"/>
        <item x="6"/>
        <item t="default"/>
      </items>
    </pivotField>
    <pivotField dataField="1" showAll="0"/>
    <pivotField showAll="0"/>
    <pivotField showAll="0"/>
    <pivotField dragToRow="0" dragToCol="0" dragToPage="0" showAll="0" defaultSubtotal="0"/>
  </pivotFields>
  <rowFields count="1">
    <field x="5"/>
  </rowFields>
  <rowItems count="5">
    <i>
      <x/>
    </i>
    <i>
      <x v="1"/>
    </i>
    <i>
      <x v="2"/>
    </i>
    <i>
      <x v="3"/>
    </i>
    <i t="grand">
      <x/>
    </i>
  </rowItems>
  <colItems count="1">
    <i/>
  </colItems>
  <dataFields count="1">
    <dataField name="Average of Attendance (%)" fld="7" subtotal="average" baseField="5" baseItem="0"/>
  </dataFields>
  <formats count="1">
    <format dxfId="6">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472CD1-73C1-4153-A583-12CDDC7B01FB}"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5:B79" firstHeaderRow="1" firstDataRow="1" firstDataCol="1"/>
  <pivotFields count="11">
    <pivotField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items count="4">
        <item x="0"/>
        <item x="1"/>
        <item x="2"/>
        <item t="default"/>
      </items>
    </pivotField>
    <pivotField showAll="0"/>
    <pivotField showAll="0">
      <items count="5">
        <item x="3"/>
        <item x="0"/>
        <item x="2"/>
        <item x="1"/>
        <item t="default"/>
      </items>
    </pivotField>
    <pivotField showAll="0">
      <items count="8">
        <item x="0"/>
        <item x="1"/>
        <item x="4"/>
        <item x="3"/>
        <item x="5"/>
        <item x="2"/>
        <item x="6"/>
        <item t="default"/>
      </items>
    </pivotField>
    <pivotField axis="axisRow" showAll="0">
      <items count="24">
        <item x="10"/>
        <item x="5"/>
        <item x="2"/>
        <item x="9"/>
        <item x="16"/>
        <item x="14"/>
        <item x="21"/>
        <item x="4"/>
        <item x="18"/>
        <item x="0"/>
        <item x="1"/>
        <item x="19"/>
        <item x="6"/>
        <item x="22"/>
        <item x="12"/>
        <item x="13"/>
        <item x="11"/>
        <item x="17"/>
        <item x="3"/>
        <item x="8"/>
        <item x="7"/>
        <item x="20"/>
        <item x="15"/>
        <item t="default"/>
      </items>
    </pivotField>
    <pivotField showAll="0"/>
    <pivotField showAll="0"/>
    <pivotField dataField="1" dragToRow="0" dragToCol="0" dragToPage="0" showAll="0" defaultSubtotal="0"/>
  </pivotFields>
  <rowFields count="1">
    <field x="7"/>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Eligibil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B8FFE7-DB16-421E-A36C-B4428A2D077A}"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9:D34" firstHeaderRow="1" firstDataRow="2" firstDataCol="1"/>
  <pivotFields count="11">
    <pivotField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axis="axisRow" showAll="0">
      <items count="4">
        <item x="0"/>
        <item x="1"/>
        <item x="2"/>
        <item t="default"/>
      </items>
    </pivotField>
    <pivotField dataField="1" showAll="0"/>
    <pivotField showAll="0">
      <items count="5">
        <item x="3"/>
        <item x="0"/>
        <item x="2"/>
        <item x="1"/>
        <item t="default"/>
      </items>
    </pivotField>
    <pivotField showAll="0">
      <items count="8">
        <item x="0"/>
        <item x="1"/>
        <item x="4"/>
        <item x="3"/>
        <item x="5"/>
        <item x="2"/>
        <item x="6"/>
        <item t="default"/>
      </items>
    </pivotField>
    <pivotField showAll="0"/>
    <pivotField axis="axisCol" showAll="0">
      <items count="3">
        <item x="1"/>
        <item x="0"/>
        <item t="default"/>
      </items>
    </pivotField>
    <pivotField showAll="0"/>
    <pivotField dragToRow="0" dragToCol="0" dragToPage="0" showAll="0" defaultSubtotal="0"/>
  </pivotFields>
  <rowFields count="1">
    <field x="3"/>
  </rowFields>
  <rowItems count="4">
    <i>
      <x/>
    </i>
    <i>
      <x v="1"/>
    </i>
    <i>
      <x v="2"/>
    </i>
    <i t="grand">
      <x/>
    </i>
  </rowItems>
  <colFields count="1">
    <field x="8"/>
  </colFields>
  <colItems count="3">
    <i>
      <x/>
    </i>
    <i>
      <x v="1"/>
    </i>
    <i t="grand">
      <x/>
    </i>
  </colItems>
  <dataFields count="1">
    <dataField name="Average of Mark" fld="4" subtotal="average" baseField="3" baseItem="0"/>
  </dataFields>
  <formats count="1">
    <format dxfId="7">
      <pivotArea collapsedLevelsAreSubtotals="1" fieldPosition="0">
        <references count="1">
          <reference field="3" count="0"/>
        </references>
      </pivotArea>
    </format>
  </formats>
  <chartFormats count="2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3">
          <reference field="4294967294" count="1" selected="0">
            <x v="0"/>
          </reference>
          <reference field="3" count="1" selected="0">
            <x v="2"/>
          </reference>
          <reference field="8" count="1" selected="0">
            <x v="0"/>
          </reference>
        </references>
      </pivotArea>
    </chartFormat>
    <chartFormat chart="0" format="3">
      <pivotArea type="data" outline="0" fieldPosition="0">
        <references count="3">
          <reference field="4294967294" count="1" selected="0">
            <x v="0"/>
          </reference>
          <reference field="3" count="1" selected="0">
            <x v="2"/>
          </reference>
          <reference field="8" count="1" selected="0">
            <x v="1"/>
          </reference>
        </references>
      </pivotArea>
    </chartFormat>
    <chartFormat chart="0" format="4">
      <pivotArea type="data" outline="0" fieldPosition="0">
        <references count="3">
          <reference field="4294967294" count="1" selected="0">
            <x v="0"/>
          </reference>
          <reference field="3" count="1" selected="0">
            <x v="1"/>
          </reference>
          <reference field="8" count="1" selected="0">
            <x v="1"/>
          </reference>
        </references>
      </pivotArea>
    </chartFormat>
    <chartFormat chart="0" format="5">
      <pivotArea type="data" outline="0" fieldPosition="0">
        <references count="3">
          <reference field="4294967294" count="1" selected="0">
            <x v="0"/>
          </reference>
          <reference field="3" count="1" selected="0">
            <x v="1"/>
          </reference>
          <reference field="8" count="1" selected="0">
            <x v="0"/>
          </reference>
        </references>
      </pivotArea>
    </chartFormat>
    <chartFormat chart="0" format="6">
      <pivotArea type="data" outline="0" fieldPosition="0">
        <references count="3">
          <reference field="4294967294" count="1" selected="0">
            <x v="0"/>
          </reference>
          <reference field="3" count="1" selected="0">
            <x v="0"/>
          </reference>
          <reference field="8" count="1" selected="0">
            <x v="1"/>
          </reference>
        </references>
      </pivotArea>
    </chartFormat>
    <chartFormat chart="0" format="7">
      <pivotArea type="data" outline="0" fieldPosition="0">
        <references count="3">
          <reference field="4294967294" count="1" selected="0">
            <x v="0"/>
          </reference>
          <reference field="3" count="1" selected="0">
            <x v="0"/>
          </reference>
          <reference field="8" count="1" selected="0">
            <x v="0"/>
          </reference>
        </references>
      </pivotArea>
    </chartFormat>
    <chartFormat chart="1" format="8" series="1">
      <pivotArea type="data" outline="0" fieldPosition="0">
        <references count="2">
          <reference field="4294967294" count="1" selected="0">
            <x v="0"/>
          </reference>
          <reference field="8" count="1" selected="0">
            <x v="0"/>
          </reference>
        </references>
      </pivotArea>
    </chartFormat>
    <chartFormat chart="1" format="9">
      <pivotArea type="data" outline="0" fieldPosition="0">
        <references count="3">
          <reference field="4294967294" count="1" selected="0">
            <x v="0"/>
          </reference>
          <reference field="3" count="1" selected="0">
            <x v="0"/>
          </reference>
          <reference field="8" count="1" selected="0">
            <x v="0"/>
          </reference>
        </references>
      </pivotArea>
    </chartFormat>
    <chartFormat chart="1" format="10">
      <pivotArea type="data" outline="0" fieldPosition="0">
        <references count="3">
          <reference field="4294967294" count="1" selected="0">
            <x v="0"/>
          </reference>
          <reference field="3" count="1" selected="0">
            <x v="1"/>
          </reference>
          <reference field="8" count="1" selected="0">
            <x v="0"/>
          </reference>
        </references>
      </pivotArea>
    </chartFormat>
    <chartFormat chart="1" format="11">
      <pivotArea type="data" outline="0" fieldPosition="0">
        <references count="3">
          <reference field="4294967294" count="1" selected="0">
            <x v="0"/>
          </reference>
          <reference field="3" count="1" selected="0">
            <x v="2"/>
          </reference>
          <reference field="8" count="1" selected="0">
            <x v="0"/>
          </reference>
        </references>
      </pivotArea>
    </chartFormat>
    <chartFormat chart="1" format="12" series="1">
      <pivotArea type="data" outline="0" fieldPosition="0">
        <references count="2">
          <reference field="4294967294" count="1" selected="0">
            <x v="0"/>
          </reference>
          <reference field="8" count="1" selected="0">
            <x v="1"/>
          </reference>
        </references>
      </pivotArea>
    </chartFormat>
    <chartFormat chart="1" format="13">
      <pivotArea type="data" outline="0" fieldPosition="0">
        <references count="3">
          <reference field="4294967294" count="1" selected="0">
            <x v="0"/>
          </reference>
          <reference field="3" count="1" selected="0">
            <x v="0"/>
          </reference>
          <reference field="8" count="1" selected="0">
            <x v="1"/>
          </reference>
        </references>
      </pivotArea>
    </chartFormat>
    <chartFormat chart="1" format="14">
      <pivotArea type="data" outline="0" fieldPosition="0">
        <references count="3">
          <reference field="4294967294" count="1" selected="0">
            <x v="0"/>
          </reference>
          <reference field="3" count="1" selected="0">
            <x v="1"/>
          </reference>
          <reference field="8" count="1" selected="0">
            <x v="1"/>
          </reference>
        </references>
      </pivotArea>
    </chartFormat>
    <chartFormat chart="1" format="15">
      <pivotArea type="data" outline="0" fieldPosition="0">
        <references count="3">
          <reference field="4294967294" count="1" selected="0">
            <x v="0"/>
          </reference>
          <reference field="3" count="1" selected="0">
            <x v="2"/>
          </reference>
          <reference field="8" count="1" selected="0">
            <x v="1"/>
          </reference>
        </references>
      </pivotArea>
    </chartFormat>
    <chartFormat chart="2" format="16" series="1">
      <pivotArea type="data" outline="0" fieldPosition="0">
        <references count="2">
          <reference field="4294967294" count="1" selected="0">
            <x v="0"/>
          </reference>
          <reference field="8" count="1" selected="0">
            <x v="0"/>
          </reference>
        </references>
      </pivotArea>
    </chartFormat>
    <chartFormat chart="2" format="17">
      <pivotArea type="data" outline="0" fieldPosition="0">
        <references count="3">
          <reference field="4294967294" count="1" selected="0">
            <x v="0"/>
          </reference>
          <reference field="3" count="1" selected="0">
            <x v="0"/>
          </reference>
          <reference field="8" count="1" selected="0">
            <x v="0"/>
          </reference>
        </references>
      </pivotArea>
    </chartFormat>
    <chartFormat chart="2" format="18">
      <pivotArea type="data" outline="0" fieldPosition="0">
        <references count="3">
          <reference field="4294967294" count="1" selected="0">
            <x v="0"/>
          </reference>
          <reference field="3" count="1" selected="0">
            <x v="1"/>
          </reference>
          <reference field="8" count="1" selected="0">
            <x v="0"/>
          </reference>
        </references>
      </pivotArea>
    </chartFormat>
    <chartFormat chart="2" format="19">
      <pivotArea type="data" outline="0" fieldPosition="0">
        <references count="3">
          <reference field="4294967294" count="1" selected="0">
            <x v="0"/>
          </reference>
          <reference field="3" count="1" selected="0">
            <x v="2"/>
          </reference>
          <reference field="8" count="1" selected="0">
            <x v="0"/>
          </reference>
        </references>
      </pivotArea>
    </chartFormat>
    <chartFormat chart="2" format="20" series="1">
      <pivotArea type="data" outline="0" fieldPosition="0">
        <references count="2">
          <reference field="4294967294" count="1" selected="0">
            <x v="0"/>
          </reference>
          <reference field="8" count="1" selected="0">
            <x v="1"/>
          </reference>
        </references>
      </pivotArea>
    </chartFormat>
    <chartFormat chart="2" format="21">
      <pivotArea type="data" outline="0" fieldPosition="0">
        <references count="3">
          <reference field="4294967294" count="1" selected="0">
            <x v="0"/>
          </reference>
          <reference field="3" count="1" selected="0">
            <x v="0"/>
          </reference>
          <reference field="8" count="1" selected="0">
            <x v="1"/>
          </reference>
        </references>
      </pivotArea>
    </chartFormat>
    <chartFormat chart="2" format="22">
      <pivotArea type="data" outline="0" fieldPosition="0">
        <references count="3">
          <reference field="4294967294" count="1" selected="0">
            <x v="0"/>
          </reference>
          <reference field="3" count="1" selected="0">
            <x v="1"/>
          </reference>
          <reference field="8" count="1" selected="0">
            <x v="1"/>
          </reference>
        </references>
      </pivotArea>
    </chartFormat>
    <chartFormat chart="2" format="23">
      <pivotArea type="data" outline="0" fieldPosition="0">
        <references count="3">
          <reference field="4294967294" count="1" selected="0">
            <x v="0"/>
          </reference>
          <reference field="3" count="1" selected="0">
            <x v="2"/>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91A628-C578-4F99-BCFB-9A42EB26FFD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1:B26" firstHeaderRow="1" firstDataRow="1" firstDataCol="1"/>
  <pivotFields count="11">
    <pivotField dataField="1"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items count="4">
        <item x="0"/>
        <item x="1"/>
        <item x="2"/>
        <item t="default"/>
      </items>
    </pivotField>
    <pivotField showAll="0"/>
    <pivotField axis="axisRow" showAll="0">
      <items count="5">
        <item x="3"/>
        <item x="0"/>
        <item x="2"/>
        <item x="1"/>
        <item t="default"/>
      </items>
    </pivotField>
    <pivotField showAll="0">
      <items count="8">
        <item x="0"/>
        <item x="1"/>
        <item x="4"/>
        <item x="3"/>
        <item x="5"/>
        <item x="2"/>
        <item x="6"/>
        <item t="default"/>
      </items>
    </pivotField>
    <pivotField showAll="0"/>
    <pivotField showAll="0"/>
    <pivotField showAll="0"/>
    <pivotField dragToRow="0" dragToCol="0" dragToPage="0" showAll="0" defaultSubtotal="0"/>
  </pivotFields>
  <rowFields count="1">
    <field x="5"/>
  </rowFields>
  <rowItems count="5">
    <i>
      <x/>
    </i>
    <i>
      <x v="1"/>
    </i>
    <i>
      <x v="2"/>
    </i>
    <i>
      <x v="3"/>
    </i>
    <i t="grand">
      <x/>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 xr10:uid="{978905AB-149C-413B-AA5F-39FBE3921207}" sourceName="Dept">
  <pivotTables>
    <pivotTable tabId="10" name="PivotTable4"/>
    <pivotTable tabId="10" name="PivotTable10"/>
    <pivotTable tabId="10" name="PivotTable11"/>
    <pivotTable tabId="10" name="PivotTable3"/>
    <pivotTable tabId="10" name="PivotTable5"/>
    <pivotTable tabId="10" name="PivotTable6"/>
    <pivotTable tabId="10" name="PivotTable7"/>
    <pivotTable tabId="10" name="PivotTable8"/>
    <pivotTable tabId="10" name="PivotTable9"/>
  </pivotTables>
  <data>
    <tabular pivotCacheId="16420239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912A969D-D1AB-4575-AE37-D8A9CF5885E3}" sourceName="Grade">
  <pivotTables>
    <pivotTable tabId="10" name="PivotTable3"/>
  </pivotTables>
  <data>
    <tabular pivotCacheId="164202392">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2620DC2-AA2C-4F6E-B373-046E5D1E65D7}" sourceName="City">
  <pivotTables>
    <pivotTable tabId="10" name="PivotTable3"/>
  </pivotTables>
  <data>
    <tabular pivotCacheId="164202392">
      <items count="7">
        <i x="0" s="1"/>
        <i x="1" s="1"/>
        <i x="4" s="1"/>
        <i x="3" s="1"/>
        <i x="5" s="1"/>
        <i x="2"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932A156-A1FA-4C37-85FE-B93C7C261A6C}" sourceName="Gender">
  <pivotTables>
    <pivotTable tabId="10" name="PivotTable3"/>
  </pivotTables>
  <data>
    <tabular pivotCacheId="16420239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xr10:uid="{AA890254-C436-41BC-BD4F-835063571A77}" cache="Slicer_Dept" caption="Dept" rowHeight="234950"/>
  <slicer name="Grade" xr10:uid="{F6B49C95-94A3-4CE2-906D-4B6BE9377201}" cache="Slicer_Grade" caption="Grade" rowHeight="234950"/>
  <slicer name="City" xr10:uid="{0A3260C1-49B5-42FB-85B3-5CD31349C9DA}" cache="Slicer_City" caption="City" rowHeight="234950"/>
  <slicer name="Gender" xr10:uid="{B40D6AFE-CCB4-4115-B753-2893460671AA}"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4727D6-4980-42F3-8329-A6045DDB1D84}" name="Table1" displayName="Table1" ref="A1:G40" totalsRowShown="0" headerRowDxfId="29" dataDxfId="28">
  <autoFilter ref="A1:G40" xr:uid="{84F64F2C-E358-4D08-A5CF-DD5FFE0FE93C}"/>
  <tableColumns count="7">
    <tableColumn id="1" xr3:uid="{3DE39901-5214-4C4D-8C6D-72B8A7D29AFA}" name="Student_ID" dataDxfId="27"/>
    <tableColumn id="2" xr3:uid="{CAF7061A-D02C-48AC-9FB6-B84F22E9D4DB}" name="Name" dataDxfId="26"/>
    <tableColumn id="3" xr3:uid="{18852473-4194-419B-BAFE-E3B24519407A}" name="Last Name" dataDxfId="25"/>
    <tableColumn id="4" xr3:uid="{8394ED79-DA05-4668-BDE2-06FBA0B346DB}" name="Dept" dataDxfId="24"/>
    <tableColumn id="5" xr3:uid="{BEF8080E-945B-49D2-80B3-666D23F14D39}" name="Mark" dataDxfId="23"/>
    <tableColumn id="6" xr3:uid="{B64BFEDA-6483-4A3A-97D1-AEEA53389474}" name="Attendance (%)" dataDxfId="22"/>
    <tableColumn id="7" xr3:uid="{2389896E-D360-4004-B0F9-E81E2476C8BF}" name="Gender_Age" dataDxfId="21"/>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2430D2-DB40-4D7A-9139-05364581DD76}" name="Table13" displayName="Table13" ref="A1:K40" totalsRowShown="0" headerRowDxfId="20" dataDxfId="19">
  <autoFilter ref="A1:K40" xr:uid="{DDBC3046-DDC0-4B48-AED9-5F46D4C8F59B}"/>
  <tableColumns count="11">
    <tableColumn id="1" xr3:uid="{5BFFF3D6-A035-400B-ACC2-8E14E93447BC}" name="Student_ID" dataDxfId="18"/>
    <tableColumn id="2" xr3:uid="{CB6C68C4-77B2-4984-82BD-230C219B9EE0}" name="Name" dataDxfId="17"/>
    <tableColumn id="3" xr3:uid="{2B038AD2-BC3F-4183-A956-FE66032791F4}" name="Last Name" dataDxfId="16"/>
    <tableColumn id="4" xr3:uid="{A80FA2DE-0682-45DD-AAFB-AF213155836B}" name="Dept" dataDxfId="15"/>
    <tableColumn id="5" xr3:uid="{8695A31D-4958-4CA3-8367-DE0DB004E759}" name="Mark" dataDxfId="14"/>
    <tableColumn id="6" xr3:uid="{E0FAB4B0-0A1C-4D23-AC8C-957CDBD5304C}" name="Attendance (%)" dataDxfId="13"/>
    <tableColumn id="7" xr3:uid="{C54F10D5-F1A2-4F90-A63C-81E7870E2372}" name="Gender" dataDxfId="12"/>
    <tableColumn id="9" xr3:uid="{BAB3C80E-0AA5-4068-AB65-6866DECB38CF}" name="Age" dataDxfId="11"/>
    <tableColumn id="8" xr3:uid="{F47F77A0-483C-410D-B771-3CABDF6FB435}" name="Full_Name" dataDxfId="10">
      <calculatedColumnFormula>PROPER(CONCATENATE(B2, " ", C2))</calculatedColumnFormula>
    </tableColumn>
    <tableColumn id="10" xr3:uid="{F7B59F84-0429-44BB-8061-44F9590C0EAB}" name="Marks" dataDxfId="9">
      <calculatedColumnFormula>IF(E2="", AVERAGEIF(Table13[Dept], D2, Table13[Mark]), E2)</calculatedColumnFormula>
    </tableColumn>
    <tableColumn id="11" xr3:uid="{6BFA01FE-87F3-4CAE-8FFA-D312D0D234B2}" name="Attendance in %" dataDxfId="8">
      <calculatedColumnFormula>IF(F2="", ROUND(AVERAGE(Table13[Attendance (%)]),0), F2)</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4E1DA-6B33-4CEF-A345-DF2D4943489E}">
  <dimension ref="A1:G40"/>
  <sheetViews>
    <sheetView workbookViewId="0">
      <selection activeCell="G7" sqref="G7"/>
    </sheetView>
  </sheetViews>
  <sheetFormatPr defaultRowHeight="14.5" x14ac:dyDescent="0.35"/>
  <cols>
    <col min="1" max="1" width="16.6328125" customWidth="1"/>
    <col min="2" max="2" width="17.08984375" bestFit="1" customWidth="1"/>
    <col min="3" max="3" width="15.90625" customWidth="1"/>
    <col min="4" max="4" width="14.453125" bestFit="1" customWidth="1"/>
    <col min="5" max="5" width="9.54296875" customWidth="1"/>
    <col min="6" max="6" width="21.81640625" customWidth="1"/>
    <col min="7" max="7" width="18.36328125" customWidth="1"/>
  </cols>
  <sheetData>
    <row r="1" spans="1:7" ht="22.75" customHeight="1" x14ac:dyDescent="0.5">
      <c r="A1" s="1" t="s">
        <v>0</v>
      </c>
      <c r="B1" s="1" t="s">
        <v>1</v>
      </c>
      <c r="C1" s="1" t="s">
        <v>89</v>
      </c>
      <c r="D1" s="1" t="s">
        <v>2</v>
      </c>
      <c r="E1" s="1" t="s">
        <v>3</v>
      </c>
      <c r="F1" s="1" t="s">
        <v>4</v>
      </c>
      <c r="G1" s="1" t="s">
        <v>80</v>
      </c>
    </row>
    <row r="2" spans="1:7" ht="22.75" customHeight="1" x14ac:dyDescent="0.5">
      <c r="A2" s="1" t="s">
        <v>5</v>
      </c>
      <c r="B2" s="1" t="s">
        <v>6</v>
      </c>
      <c r="C2" s="1" t="s">
        <v>90</v>
      </c>
      <c r="D2" s="1" t="s">
        <v>7</v>
      </c>
      <c r="E2" s="1">
        <v>76</v>
      </c>
      <c r="F2" s="1">
        <v>82</v>
      </c>
      <c r="G2" s="1" t="s">
        <v>82</v>
      </c>
    </row>
    <row r="3" spans="1:7" ht="22.75" customHeight="1" x14ac:dyDescent="0.5">
      <c r="A3" s="1" t="s">
        <v>8</v>
      </c>
      <c r="B3" s="1" t="s">
        <v>9</v>
      </c>
      <c r="C3" s="1" t="s">
        <v>91</v>
      </c>
      <c r="D3" s="1" t="s">
        <v>205</v>
      </c>
      <c r="E3" s="1">
        <v>71</v>
      </c>
      <c r="F3" s="1" t="s">
        <v>92</v>
      </c>
      <c r="G3" s="1" t="s">
        <v>81</v>
      </c>
    </row>
    <row r="4" spans="1:7" ht="22.75" customHeight="1" x14ac:dyDescent="0.5">
      <c r="A4" s="1" t="s">
        <v>11</v>
      </c>
      <c r="B4" s="1" t="s">
        <v>202</v>
      </c>
      <c r="C4" s="1" t="s">
        <v>93</v>
      </c>
      <c r="D4" s="1" t="s">
        <v>7</v>
      </c>
      <c r="E4" s="1">
        <v>39</v>
      </c>
      <c r="F4" s="1">
        <v>65</v>
      </c>
      <c r="G4" s="1" t="s">
        <v>94</v>
      </c>
    </row>
    <row r="5" spans="1:7" ht="22.75" customHeight="1" x14ac:dyDescent="0.5">
      <c r="A5" s="1" t="s">
        <v>13</v>
      </c>
      <c r="B5" s="1" t="s">
        <v>14</v>
      </c>
      <c r="C5" s="1" t="s">
        <v>95</v>
      </c>
      <c r="D5" s="1" t="s">
        <v>15</v>
      </c>
      <c r="E5" s="1">
        <v>72</v>
      </c>
      <c r="F5" s="1">
        <v>93</v>
      </c>
      <c r="G5" s="1" t="s">
        <v>85</v>
      </c>
    </row>
    <row r="6" spans="1:7" ht="22.75" customHeight="1" x14ac:dyDescent="0.5">
      <c r="A6" s="1" t="s">
        <v>16</v>
      </c>
      <c r="B6" s="1" t="s">
        <v>17</v>
      </c>
      <c r="C6" s="1" t="s">
        <v>96</v>
      </c>
      <c r="D6" s="1" t="s">
        <v>10</v>
      </c>
      <c r="E6" s="1">
        <v>60</v>
      </c>
      <c r="F6" s="1">
        <v>73</v>
      </c>
      <c r="G6" s="1" t="s">
        <v>97</v>
      </c>
    </row>
    <row r="7" spans="1:7" ht="22.75" customHeight="1" x14ac:dyDescent="0.5">
      <c r="A7" s="1" t="s">
        <v>18</v>
      </c>
      <c r="B7" s="1" t="s">
        <v>19</v>
      </c>
      <c r="C7" s="1" t="s">
        <v>98</v>
      </c>
      <c r="D7" s="1" t="s">
        <v>15</v>
      </c>
      <c r="E7" s="1">
        <v>84</v>
      </c>
      <c r="F7" s="1">
        <v>62</v>
      </c>
      <c r="G7" s="1" t="s">
        <v>86</v>
      </c>
    </row>
    <row r="8" spans="1:7" ht="22.75" customHeight="1" x14ac:dyDescent="0.5">
      <c r="A8" s="1" t="s">
        <v>20</v>
      </c>
      <c r="B8" s="1" t="s">
        <v>21</v>
      </c>
      <c r="C8" s="1" t="s">
        <v>99</v>
      </c>
      <c r="D8" s="1" t="s">
        <v>7</v>
      </c>
      <c r="E8" s="1">
        <v>60</v>
      </c>
      <c r="F8" s="1">
        <v>86</v>
      </c>
      <c r="G8" s="1" t="s">
        <v>100</v>
      </c>
    </row>
    <row r="9" spans="1:7" ht="22.75" customHeight="1" x14ac:dyDescent="0.5">
      <c r="A9" s="1" t="s">
        <v>22</v>
      </c>
      <c r="B9" s="1" t="s">
        <v>200</v>
      </c>
      <c r="C9" s="1" t="s">
        <v>101</v>
      </c>
      <c r="D9" s="1" t="s">
        <v>15</v>
      </c>
      <c r="E9" s="1">
        <v>98</v>
      </c>
      <c r="F9" s="1">
        <v>96</v>
      </c>
      <c r="G9" s="1" t="s">
        <v>102</v>
      </c>
    </row>
    <row r="10" spans="1:7" ht="22.75" customHeight="1" x14ac:dyDescent="0.5">
      <c r="A10" s="1" t="s">
        <v>24</v>
      </c>
      <c r="B10" s="1" t="s">
        <v>25</v>
      </c>
      <c r="C10" s="1" t="s">
        <v>103</v>
      </c>
      <c r="D10" s="1" t="s">
        <v>15</v>
      </c>
      <c r="E10" s="1">
        <v>44</v>
      </c>
      <c r="F10" s="1">
        <v>95</v>
      </c>
      <c r="G10" s="1" t="s">
        <v>82</v>
      </c>
    </row>
    <row r="11" spans="1:7" ht="22.75" customHeight="1" x14ac:dyDescent="0.5">
      <c r="A11" s="1" t="s">
        <v>26</v>
      </c>
      <c r="B11" s="1" t="s">
        <v>27</v>
      </c>
      <c r="C11" s="1" t="s">
        <v>104</v>
      </c>
      <c r="D11" s="1" t="s">
        <v>10</v>
      </c>
      <c r="E11" s="1">
        <v>94</v>
      </c>
      <c r="F11" s="1">
        <v>66</v>
      </c>
      <c r="G11" s="1" t="s">
        <v>83</v>
      </c>
    </row>
    <row r="12" spans="1:7" ht="22.75" customHeight="1" x14ac:dyDescent="0.5">
      <c r="A12" s="1" t="s">
        <v>28</v>
      </c>
      <c r="B12" s="1" t="s">
        <v>29</v>
      </c>
      <c r="C12" s="1" t="s">
        <v>105</v>
      </c>
      <c r="D12" s="1" t="s">
        <v>205</v>
      </c>
      <c r="E12" s="1" t="s">
        <v>92</v>
      </c>
      <c r="F12" s="1">
        <v>65</v>
      </c>
      <c r="G12" s="1" t="s">
        <v>84</v>
      </c>
    </row>
    <row r="13" spans="1:7" ht="22.75" customHeight="1" x14ac:dyDescent="0.5">
      <c r="A13" s="1" t="s">
        <v>30</v>
      </c>
      <c r="B13" s="1" t="s">
        <v>201</v>
      </c>
      <c r="C13" s="1" t="s">
        <v>106</v>
      </c>
      <c r="D13" s="1" t="s">
        <v>10</v>
      </c>
      <c r="E13" s="1">
        <v>51</v>
      </c>
      <c r="F13" s="1">
        <v>61</v>
      </c>
      <c r="G13" s="1" t="s">
        <v>107</v>
      </c>
    </row>
    <row r="14" spans="1:7" ht="22.75" customHeight="1" x14ac:dyDescent="0.5">
      <c r="A14" s="1" t="s">
        <v>32</v>
      </c>
      <c r="B14" s="1" t="s">
        <v>33</v>
      </c>
      <c r="C14" s="1" t="s">
        <v>108</v>
      </c>
      <c r="D14" s="1" t="s">
        <v>7</v>
      </c>
      <c r="E14" s="1">
        <v>73</v>
      </c>
      <c r="F14" s="1">
        <v>91</v>
      </c>
      <c r="G14" s="1" t="s">
        <v>85</v>
      </c>
    </row>
    <row r="15" spans="1:7" ht="22.75" customHeight="1" x14ac:dyDescent="0.5">
      <c r="A15" s="1" t="s">
        <v>34</v>
      </c>
      <c r="B15" s="1" t="s">
        <v>35</v>
      </c>
      <c r="C15" s="1" t="s">
        <v>109</v>
      </c>
      <c r="D15" s="1" t="s">
        <v>15</v>
      </c>
      <c r="E15" s="1">
        <v>60</v>
      </c>
      <c r="F15" s="1"/>
      <c r="G15" s="1" t="s">
        <v>110</v>
      </c>
    </row>
    <row r="16" spans="1:7" ht="22.75" customHeight="1" x14ac:dyDescent="0.5">
      <c r="A16" s="1" t="s">
        <v>36</v>
      </c>
      <c r="B16" s="1" t="s">
        <v>37</v>
      </c>
      <c r="C16" s="1" t="s">
        <v>111</v>
      </c>
      <c r="D16" s="1" t="s">
        <v>15</v>
      </c>
      <c r="E16" s="1">
        <v>41</v>
      </c>
      <c r="F16" s="1">
        <v>88</v>
      </c>
      <c r="G16" s="1" t="s">
        <v>112</v>
      </c>
    </row>
    <row r="17" spans="1:7" ht="22.75" customHeight="1" x14ac:dyDescent="0.5">
      <c r="A17" s="1" t="s">
        <v>38</v>
      </c>
      <c r="B17" s="1" t="s">
        <v>39</v>
      </c>
      <c r="C17" s="1" t="s">
        <v>113</v>
      </c>
      <c r="D17" s="1" t="s">
        <v>15</v>
      </c>
      <c r="E17" s="1">
        <v>35</v>
      </c>
      <c r="F17" s="1">
        <v>90</v>
      </c>
      <c r="G17" s="1" t="s">
        <v>82</v>
      </c>
    </row>
    <row r="18" spans="1:7" ht="22.75" customHeight="1" x14ac:dyDescent="0.5">
      <c r="A18" s="1" t="s">
        <v>40</v>
      </c>
      <c r="B18" s="1" t="s">
        <v>41</v>
      </c>
      <c r="C18" s="1" t="s">
        <v>114</v>
      </c>
      <c r="D18" s="1" t="s">
        <v>10</v>
      </c>
      <c r="E18" s="1">
        <v>55</v>
      </c>
      <c r="F18" s="1">
        <v>96</v>
      </c>
      <c r="G18" s="1" t="s">
        <v>84</v>
      </c>
    </row>
    <row r="19" spans="1:7" ht="22.75" customHeight="1" x14ac:dyDescent="0.5">
      <c r="A19" s="1" t="s">
        <v>42</v>
      </c>
      <c r="B19" s="1" t="s">
        <v>43</v>
      </c>
      <c r="C19" s="1" t="s">
        <v>90</v>
      </c>
      <c r="D19" s="1" t="s">
        <v>7</v>
      </c>
      <c r="E19" s="1">
        <v>74</v>
      </c>
      <c r="F19" s="1">
        <v>71</v>
      </c>
      <c r="G19" s="1" t="s">
        <v>83</v>
      </c>
    </row>
    <row r="20" spans="1:7" ht="22.75" customHeight="1" x14ac:dyDescent="0.5">
      <c r="A20" s="1" t="s">
        <v>44</v>
      </c>
      <c r="B20" s="1" t="s">
        <v>45</v>
      </c>
      <c r="C20" s="1" t="s">
        <v>96</v>
      </c>
      <c r="D20" s="1" t="s">
        <v>10</v>
      </c>
      <c r="E20" s="1"/>
      <c r="F20" s="1">
        <v>62</v>
      </c>
      <c r="G20" s="1" t="s">
        <v>94</v>
      </c>
    </row>
    <row r="21" spans="1:7" ht="22.75" customHeight="1" x14ac:dyDescent="0.5">
      <c r="A21" s="1" t="s">
        <v>46</v>
      </c>
      <c r="B21" s="1" t="s">
        <v>47</v>
      </c>
      <c r="C21" s="1" t="s">
        <v>115</v>
      </c>
      <c r="D21" s="1" t="s">
        <v>15</v>
      </c>
      <c r="E21" s="1">
        <v>53</v>
      </c>
      <c r="F21" s="1">
        <v>100</v>
      </c>
      <c r="G21" s="1" t="s">
        <v>85</v>
      </c>
    </row>
    <row r="22" spans="1:7" ht="22.75" customHeight="1" x14ac:dyDescent="0.5">
      <c r="A22" s="1" t="s">
        <v>40</v>
      </c>
      <c r="B22" s="1" t="s">
        <v>41</v>
      </c>
      <c r="C22" s="1" t="s">
        <v>114</v>
      </c>
      <c r="D22" s="1" t="s">
        <v>10</v>
      </c>
      <c r="E22" s="1">
        <v>55</v>
      </c>
      <c r="F22" s="1">
        <v>96</v>
      </c>
      <c r="G22" s="1" t="s">
        <v>84</v>
      </c>
    </row>
    <row r="23" spans="1:7" ht="22.75" customHeight="1" x14ac:dyDescent="0.5">
      <c r="A23" s="1" t="s">
        <v>48</v>
      </c>
      <c r="B23" s="1" t="s">
        <v>49</v>
      </c>
      <c r="C23" s="1" t="s">
        <v>116</v>
      </c>
      <c r="D23" s="1" t="s">
        <v>10</v>
      </c>
      <c r="E23" s="1">
        <v>80</v>
      </c>
      <c r="F23" s="1">
        <v>67</v>
      </c>
      <c r="G23" s="1" t="s">
        <v>86</v>
      </c>
    </row>
    <row r="24" spans="1:7" ht="22.75" customHeight="1" x14ac:dyDescent="0.5">
      <c r="A24" s="1" t="s">
        <v>50</v>
      </c>
      <c r="B24" s="1" t="s">
        <v>51</v>
      </c>
      <c r="C24" s="1" t="s">
        <v>117</v>
      </c>
      <c r="D24" s="1" t="s">
        <v>7</v>
      </c>
      <c r="E24" s="1">
        <v>62</v>
      </c>
      <c r="F24" s="1">
        <v>83</v>
      </c>
      <c r="G24" s="1" t="s">
        <v>83</v>
      </c>
    </row>
    <row r="25" spans="1:7" ht="22.75" customHeight="1" x14ac:dyDescent="0.5">
      <c r="A25" s="1" t="s">
        <v>52</v>
      </c>
      <c r="B25" s="1" t="s">
        <v>53</v>
      </c>
      <c r="C25" s="1" t="s">
        <v>204</v>
      </c>
      <c r="D25" s="1" t="s">
        <v>7</v>
      </c>
      <c r="E25" s="1">
        <v>98</v>
      </c>
      <c r="F25" s="1">
        <v>92</v>
      </c>
      <c r="G25" s="1" t="s">
        <v>119</v>
      </c>
    </row>
    <row r="26" spans="1:7" ht="22.75" customHeight="1" x14ac:dyDescent="0.5">
      <c r="A26" s="1" t="s">
        <v>54</v>
      </c>
      <c r="B26" s="1" t="s">
        <v>55</v>
      </c>
      <c r="C26" s="1" t="s">
        <v>120</v>
      </c>
      <c r="D26" s="1" t="s">
        <v>7</v>
      </c>
      <c r="E26" s="1">
        <v>41</v>
      </c>
      <c r="F26" s="1">
        <v>62</v>
      </c>
      <c r="G26" s="1" t="s">
        <v>102</v>
      </c>
    </row>
    <row r="27" spans="1:7" ht="22.75" customHeight="1" x14ac:dyDescent="0.5">
      <c r="A27" s="1" t="s">
        <v>56</v>
      </c>
      <c r="B27" s="1" t="s">
        <v>57</v>
      </c>
      <c r="C27" s="1" t="s">
        <v>121</v>
      </c>
      <c r="D27" s="1" t="s">
        <v>10</v>
      </c>
      <c r="E27" s="1">
        <v>37</v>
      </c>
      <c r="F27" s="1">
        <v>73</v>
      </c>
      <c r="G27" s="1" t="s">
        <v>122</v>
      </c>
    </row>
    <row r="28" spans="1:7" ht="22.75" customHeight="1" x14ac:dyDescent="0.5">
      <c r="A28" s="1" t="s">
        <v>58</v>
      </c>
      <c r="B28" s="1" t="s">
        <v>59</v>
      </c>
      <c r="C28" s="1" t="s">
        <v>123</v>
      </c>
      <c r="D28" s="1" t="s">
        <v>15</v>
      </c>
      <c r="E28" s="1">
        <v>76</v>
      </c>
      <c r="F28" s="1">
        <v>80</v>
      </c>
      <c r="G28" s="1" t="s">
        <v>87</v>
      </c>
    </row>
    <row r="29" spans="1:7" ht="22.75" customHeight="1" x14ac:dyDescent="0.5">
      <c r="A29" s="1" t="s">
        <v>40</v>
      </c>
      <c r="B29" s="1" t="s">
        <v>41</v>
      </c>
      <c r="C29" s="1" t="s">
        <v>114</v>
      </c>
      <c r="D29" s="1" t="s">
        <v>10</v>
      </c>
      <c r="E29" s="1">
        <v>55</v>
      </c>
      <c r="F29" s="1">
        <v>96</v>
      </c>
      <c r="G29" s="1" t="s">
        <v>84</v>
      </c>
    </row>
    <row r="30" spans="1:7" ht="22.75" customHeight="1" x14ac:dyDescent="0.5">
      <c r="A30" s="1" t="s">
        <v>60</v>
      </c>
      <c r="B30" s="1" t="s">
        <v>61</v>
      </c>
      <c r="C30" s="1" t="s">
        <v>124</v>
      </c>
      <c r="D30" s="1" t="s">
        <v>15</v>
      </c>
      <c r="E30" s="1">
        <v>71</v>
      </c>
      <c r="F30" s="1">
        <v>84</v>
      </c>
      <c r="G30" s="1" t="s">
        <v>110</v>
      </c>
    </row>
    <row r="31" spans="1:7" ht="22.75" customHeight="1" x14ac:dyDescent="0.5">
      <c r="A31" s="1" t="s">
        <v>62</v>
      </c>
      <c r="B31" s="1" t="s">
        <v>63</v>
      </c>
      <c r="C31" s="1" t="s">
        <v>125</v>
      </c>
      <c r="D31" s="1" t="s">
        <v>15</v>
      </c>
      <c r="E31" s="1"/>
      <c r="F31" s="1">
        <v>65</v>
      </c>
      <c r="G31" s="1" t="s">
        <v>83</v>
      </c>
    </row>
    <row r="32" spans="1:7" ht="22.75" customHeight="1" x14ac:dyDescent="0.5">
      <c r="A32" s="1" t="s">
        <v>64</v>
      </c>
      <c r="B32" s="1" t="s">
        <v>65</v>
      </c>
      <c r="C32" s="1" t="s">
        <v>126</v>
      </c>
      <c r="D32" s="1" t="s">
        <v>7</v>
      </c>
      <c r="E32" s="1">
        <v>54</v>
      </c>
      <c r="F32" s="1">
        <v>99</v>
      </c>
      <c r="G32" s="1" t="s">
        <v>88</v>
      </c>
    </row>
    <row r="33" spans="1:7" ht="22.75" customHeight="1" x14ac:dyDescent="0.5">
      <c r="A33" s="1" t="s">
        <v>66</v>
      </c>
      <c r="B33" s="1" t="s">
        <v>59</v>
      </c>
      <c r="C33" s="1" t="s">
        <v>123</v>
      </c>
      <c r="D33" s="1" t="s">
        <v>15</v>
      </c>
      <c r="E33" s="1">
        <v>76</v>
      </c>
      <c r="F33" s="1">
        <v>80</v>
      </c>
      <c r="G33" s="1" t="s">
        <v>87</v>
      </c>
    </row>
    <row r="34" spans="1:7" ht="22.75" customHeight="1" x14ac:dyDescent="0.5">
      <c r="A34" s="1" t="s">
        <v>67</v>
      </c>
      <c r="B34" s="1" t="s">
        <v>68</v>
      </c>
      <c r="C34" s="1" t="s">
        <v>96</v>
      </c>
      <c r="D34" s="1" t="s">
        <v>10</v>
      </c>
      <c r="E34" s="1">
        <v>90</v>
      </c>
      <c r="F34" s="1">
        <v>66</v>
      </c>
      <c r="G34" s="1" t="s">
        <v>107</v>
      </c>
    </row>
    <row r="35" spans="1:7" ht="22.75" customHeight="1" x14ac:dyDescent="0.5">
      <c r="A35" s="1" t="s">
        <v>69</v>
      </c>
      <c r="B35" s="1" t="s">
        <v>70</v>
      </c>
      <c r="C35" s="1" t="s">
        <v>127</v>
      </c>
      <c r="D35" s="1" t="s">
        <v>7</v>
      </c>
      <c r="E35" s="1">
        <v>80</v>
      </c>
      <c r="F35" s="1">
        <v>91</v>
      </c>
      <c r="G35" s="1" t="s">
        <v>100</v>
      </c>
    </row>
    <row r="36" spans="1:7" ht="22.75" customHeight="1" x14ac:dyDescent="0.5">
      <c r="A36" s="1" t="s">
        <v>71</v>
      </c>
      <c r="B36" s="1" t="s">
        <v>72</v>
      </c>
      <c r="C36" s="1" t="s">
        <v>128</v>
      </c>
      <c r="D36" s="1" t="s">
        <v>10</v>
      </c>
      <c r="E36" s="1">
        <v>57</v>
      </c>
      <c r="F36" s="1">
        <v>72</v>
      </c>
      <c r="G36" s="1" t="s">
        <v>97</v>
      </c>
    </row>
    <row r="37" spans="1:7" ht="22.75" customHeight="1" x14ac:dyDescent="0.5">
      <c r="A37" s="1" t="s">
        <v>73</v>
      </c>
      <c r="B37" s="1" t="s">
        <v>74</v>
      </c>
      <c r="C37" s="1" t="s">
        <v>129</v>
      </c>
      <c r="D37" s="1" t="s">
        <v>10</v>
      </c>
      <c r="E37" s="1">
        <v>92</v>
      </c>
      <c r="F37" s="1">
        <v>87</v>
      </c>
      <c r="G37" s="1" t="s">
        <v>85</v>
      </c>
    </row>
    <row r="38" spans="1:7" ht="22.75" customHeight="1" x14ac:dyDescent="0.5">
      <c r="A38" s="1" t="s">
        <v>75</v>
      </c>
      <c r="B38" s="1" t="s">
        <v>76</v>
      </c>
      <c r="C38" s="1" t="s">
        <v>130</v>
      </c>
      <c r="D38" s="1" t="s">
        <v>7</v>
      </c>
      <c r="E38" s="1">
        <v>52</v>
      </c>
      <c r="F38" s="1">
        <v>84</v>
      </c>
      <c r="G38" s="1" t="s">
        <v>82</v>
      </c>
    </row>
    <row r="39" spans="1:7" ht="22.75" customHeight="1" x14ac:dyDescent="0.5">
      <c r="A39" s="1" t="s">
        <v>77</v>
      </c>
      <c r="B39" s="1" t="s">
        <v>63</v>
      </c>
      <c r="C39" s="1" t="s">
        <v>203</v>
      </c>
      <c r="D39" s="1" t="s">
        <v>15</v>
      </c>
      <c r="E39" s="1">
        <v>53</v>
      </c>
      <c r="F39" s="1">
        <v>65</v>
      </c>
      <c r="G39" s="1" t="s">
        <v>83</v>
      </c>
    </row>
    <row r="40" spans="1:7" ht="22.75" customHeight="1" x14ac:dyDescent="0.5">
      <c r="A40" s="1" t="s">
        <v>78</v>
      </c>
      <c r="B40" s="1" t="s">
        <v>79</v>
      </c>
      <c r="C40" s="1" t="s">
        <v>131</v>
      </c>
      <c r="D40" s="1" t="s">
        <v>15</v>
      </c>
      <c r="E40" s="1">
        <v>97</v>
      </c>
      <c r="F40" s="1">
        <v>88</v>
      </c>
      <c r="G40" s="1" t="s">
        <v>84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D696B-681C-4257-8FB4-1B785A975FB4}">
  <dimension ref="A1:K40"/>
  <sheetViews>
    <sheetView topLeftCell="C1" workbookViewId="0">
      <selection sqref="A1:K1"/>
    </sheetView>
  </sheetViews>
  <sheetFormatPr defaultColWidth="20.81640625" defaultRowHeight="14.5" x14ac:dyDescent="0.35"/>
  <cols>
    <col min="1" max="8" width="20.81640625" customWidth="1"/>
    <col min="9" max="9" width="24.1796875" bestFit="1" customWidth="1"/>
    <col min="11" max="11" width="24.81640625" customWidth="1"/>
  </cols>
  <sheetData>
    <row r="1" spans="1:11" ht="22.75" customHeight="1" x14ac:dyDescent="0.5">
      <c r="A1" s="44" t="s">
        <v>0</v>
      </c>
      <c r="B1" s="42" t="s">
        <v>1</v>
      </c>
      <c r="C1" s="42" t="s">
        <v>89</v>
      </c>
      <c r="D1" s="44" t="s">
        <v>2</v>
      </c>
      <c r="E1" s="42" t="s">
        <v>3</v>
      </c>
      <c r="F1" s="42" t="s">
        <v>4</v>
      </c>
      <c r="G1" s="44" t="s">
        <v>144</v>
      </c>
      <c r="H1" s="44" t="s">
        <v>147</v>
      </c>
      <c r="I1" s="44" t="s">
        <v>206</v>
      </c>
      <c r="J1" s="42" t="s">
        <v>207</v>
      </c>
      <c r="K1" s="42" t="s">
        <v>208</v>
      </c>
    </row>
    <row r="2" spans="1:11" ht="22.75" customHeight="1" x14ac:dyDescent="0.35">
      <c r="A2" s="43" t="s">
        <v>5</v>
      </c>
      <c r="B2" s="43" t="s">
        <v>6</v>
      </c>
      <c r="C2" s="43" t="s">
        <v>90</v>
      </c>
      <c r="D2" s="43" t="s">
        <v>7</v>
      </c>
      <c r="E2" s="43">
        <v>76</v>
      </c>
      <c r="F2" s="43">
        <v>82</v>
      </c>
      <c r="G2" s="43" t="s">
        <v>145</v>
      </c>
      <c r="H2" s="43">
        <v>22</v>
      </c>
      <c r="I2" s="43" t="str">
        <f t="shared" ref="I2:I40" si="0">PROPER(CONCATENATE(B2, " ", C2))</f>
        <v>Ravi Kumar</v>
      </c>
      <c r="J2" s="43">
        <f>IF(E2="", AVERAGEIF(Table13[Dept], D2, Table13[Mark]), E2)</f>
        <v>76</v>
      </c>
      <c r="K2" s="43">
        <f>IF(F2="", ROUND(AVERAGE(Table13[Attendance (%)]),0), F2)</f>
        <v>82</v>
      </c>
    </row>
    <row r="3" spans="1:11" ht="22.75" customHeight="1" x14ac:dyDescent="0.35">
      <c r="A3" s="43" t="s">
        <v>8</v>
      </c>
      <c r="B3" s="43" t="s">
        <v>9</v>
      </c>
      <c r="C3" s="43" t="s">
        <v>91</v>
      </c>
      <c r="D3" s="43" t="s">
        <v>7</v>
      </c>
      <c r="E3" s="43">
        <v>71</v>
      </c>
      <c r="F3" s="43" t="s">
        <v>92</v>
      </c>
      <c r="G3" s="43" t="s">
        <v>145</v>
      </c>
      <c r="H3" s="43">
        <v>34</v>
      </c>
      <c r="I3" s="43" t="str">
        <f t="shared" si="0"/>
        <v>Mohan Raj</v>
      </c>
      <c r="J3" s="43">
        <f>IF(E3="", AVERAGEIF(Table13[Dept], D3, Table13[Mark]), E3)</f>
        <v>71</v>
      </c>
      <c r="K3" s="43">
        <f>IF(F3="", ROUND(AVERAGE(Table13[Attendance (%)]),0), F3)</f>
        <v>80</v>
      </c>
    </row>
    <row r="4" spans="1:11" ht="22.75" customHeight="1" x14ac:dyDescent="0.35">
      <c r="A4" s="43" t="s">
        <v>11</v>
      </c>
      <c r="B4" s="43" t="s">
        <v>202</v>
      </c>
      <c r="C4" s="43" t="s">
        <v>93</v>
      </c>
      <c r="D4" s="43" t="s">
        <v>7</v>
      </c>
      <c r="E4" s="43">
        <v>39</v>
      </c>
      <c r="F4" s="43">
        <v>65</v>
      </c>
      <c r="G4" s="43" t="s">
        <v>146</v>
      </c>
      <c r="H4" s="43">
        <v>21</v>
      </c>
      <c r="I4" s="43" t="str">
        <f t="shared" si="0"/>
        <v>Deepthikha Rani</v>
      </c>
      <c r="J4" s="43">
        <f>IF(E4="", AVERAGEIF(Table13[Dept], D4, Table13[Mark]), E4)</f>
        <v>39</v>
      </c>
      <c r="K4" s="43">
        <f>IF(F4="", ROUND(AVERAGE(Table13[Attendance (%)]),0), F4)</f>
        <v>65</v>
      </c>
    </row>
    <row r="5" spans="1:11" ht="22.75" customHeight="1" x14ac:dyDescent="0.35">
      <c r="A5" s="43" t="s">
        <v>13</v>
      </c>
      <c r="B5" s="43" t="s">
        <v>14</v>
      </c>
      <c r="C5" s="43" t="s">
        <v>95</v>
      </c>
      <c r="D5" s="43" t="s">
        <v>15</v>
      </c>
      <c r="E5" s="43">
        <v>72</v>
      </c>
      <c r="F5" s="43">
        <v>93</v>
      </c>
      <c r="G5" s="43" t="s">
        <v>145</v>
      </c>
      <c r="H5" s="43">
        <v>25</v>
      </c>
      <c r="I5" s="43" t="str">
        <f t="shared" si="0"/>
        <v>Manohar Babu</v>
      </c>
      <c r="J5" s="43">
        <f>IF(E5="", AVERAGEIF(Table13[Dept], D5, Table13[Mark]), E5)</f>
        <v>72</v>
      </c>
      <c r="K5" s="43">
        <f>IF(F5="", ROUND(AVERAGE(Table13[Attendance (%)]),0), F5)</f>
        <v>93</v>
      </c>
    </row>
    <row r="6" spans="1:11" ht="22.75" customHeight="1" x14ac:dyDescent="0.35">
      <c r="A6" s="43" t="s">
        <v>16</v>
      </c>
      <c r="B6" s="43" t="s">
        <v>17</v>
      </c>
      <c r="C6" s="43" t="s">
        <v>96</v>
      </c>
      <c r="D6" s="43" t="s">
        <v>10</v>
      </c>
      <c r="E6" s="43">
        <v>60</v>
      </c>
      <c r="F6" s="43">
        <v>73</v>
      </c>
      <c r="G6" s="43" t="s">
        <v>146</v>
      </c>
      <c r="H6" s="43">
        <v>23</v>
      </c>
      <c r="I6" s="43" t="str">
        <f t="shared" si="0"/>
        <v>Priyanka Devi</v>
      </c>
      <c r="J6" s="43">
        <f>IF(E6="", AVERAGEIF(Table13[Dept], D6, Table13[Mark]), E6)</f>
        <v>60</v>
      </c>
      <c r="K6" s="43">
        <f>IF(F6="", ROUND(AVERAGE(Table13[Attendance (%)]),0), F6)</f>
        <v>73</v>
      </c>
    </row>
    <row r="7" spans="1:11" ht="22.75" customHeight="1" x14ac:dyDescent="0.35">
      <c r="A7" s="43" t="s">
        <v>18</v>
      </c>
      <c r="B7" s="43" t="s">
        <v>19</v>
      </c>
      <c r="C7" s="43" t="s">
        <v>98</v>
      </c>
      <c r="D7" s="43" t="s">
        <v>15</v>
      </c>
      <c r="E7" s="43">
        <v>84</v>
      </c>
      <c r="F7" s="43">
        <v>62</v>
      </c>
      <c r="G7" s="43" t="s">
        <v>145</v>
      </c>
      <c r="H7" s="43">
        <v>26</v>
      </c>
      <c r="I7" s="43" t="str">
        <f t="shared" si="0"/>
        <v>Vinoth Muthu</v>
      </c>
      <c r="J7" s="43">
        <f>IF(E7="", AVERAGEIF(Table13[Dept], D7, Table13[Mark]), E7)</f>
        <v>84</v>
      </c>
      <c r="K7" s="43">
        <f>IF(F7="", ROUND(AVERAGE(Table13[Attendance (%)]),0), F7)</f>
        <v>62</v>
      </c>
    </row>
    <row r="8" spans="1:11" ht="22.75" customHeight="1" x14ac:dyDescent="0.35">
      <c r="A8" s="43" t="s">
        <v>20</v>
      </c>
      <c r="B8" s="43" t="s">
        <v>21</v>
      </c>
      <c r="C8" s="43" t="s">
        <v>99</v>
      </c>
      <c r="D8" s="43" t="s">
        <v>7</v>
      </c>
      <c r="E8" s="43">
        <v>60</v>
      </c>
      <c r="F8" s="43">
        <v>86</v>
      </c>
      <c r="G8" s="43" t="s">
        <v>146</v>
      </c>
      <c r="H8" s="43">
        <v>29</v>
      </c>
      <c r="I8" s="43" t="str">
        <f t="shared" si="0"/>
        <v>Shanthi Lakshmi</v>
      </c>
      <c r="J8" s="43">
        <f>IF(E8="", AVERAGEIF(Table13[Dept], D8, Table13[Mark]), E8)</f>
        <v>60</v>
      </c>
      <c r="K8" s="43">
        <f>IF(F8="", ROUND(AVERAGE(Table13[Attendance (%)]),0), F8)</f>
        <v>86</v>
      </c>
    </row>
    <row r="9" spans="1:11" ht="22.75" customHeight="1" x14ac:dyDescent="0.35">
      <c r="A9" s="43" t="s">
        <v>22</v>
      </c>
      <c r="B9" s="43" t="s">
        <v>200</v>
      </c>
      <c r="C9" s="43" t="s">
        <v>101</v>
      </c>
      <c r="D9" s="43" t="s">
        <v>15</v>
      </c>
      <c r="E9" s="43">
        <v>98</v>
      </c>
      <c r="F9" s="43">
        <v>96</v>
      </c>
      <c r="G9" s="43" t="s">
        <v>146</v>
      </c>
      <c r="H9" s="43">
        <v>28</v>
      </c>
      <c r="I9" s="43" t="str">
        <f t="shared" si="0"/>
        <v>Manimegalai Selvi</v>
      </c>
      <c r="J9" s="43">
        <f>IF(E9="", AVERAGEIF(Table13[Dept], D9, Table13[Mark]), E9)</f>
        <v>98</v>
      </c>
      <c r="K9" s="43">
        <f>IF(F9="", ROUND(AVERAGE(Table13[Attendance (%)]),0), F9)</f>
        <v>96</v>
      </c>
    </row>
    <row r="10" spans="1:11" ht="22.75" customHeight="1" x14ac:dyDescent="0.35">
      <c r="A10" s="43" t="s">
        <v>24</v>
      </c>
      <c r="B10" s="43" t="s">
        <v>25</v>
      </c>
      <c r="C10" s="43" t="s">
        <v>103</v>
      </c>
      <c r="D10" s="43" t="s">
        <v>15</v>
      </c>
      <c r="E10" s="43">
        <v>44</v>
      </c>
      <c r="F10" s="43">
        <v>95</v>
      </c>
      <c r="G10" s="43" t="s">
        <v>145</v>
      </c>
      <c r="H10" s="43">
        <v>22</v>
      </c>
      <c r="I10" s="43" t="str">
        <f t="shared" si="0"/>
        <v>Karthi Velu</v>
      </c>
      <c r="J10" s="43">
        <f>IF(E10="", AVERAGEIF(Table13[Dept], D10, Table13[Mark]), E10)</f>
        <v>44</v>
      </c>
      <c r="K10" s="43">
        <f>IF(F10="", ROUND(AVERAGE(Table13[Attendance (%)]),0), F10)</f>
        <v>95</v>
      </c>
    </row>
    <row r="11" spans="1:11" ht="22.75" customHeight="1" x14ac:dyDescent="0.35">
      <c r="A11" s="43" t="s">
        <v>26</v>
      </c>
      <c r="B11" s="43" t="s">
        <v>27</v>
      </c>
      <c r="C11" s="43" t="s">
        <v>104</v>
      </c>
      <c r="D11" s="43" t="s">
        <v>10</v>
      </c>
      <c r="E11" s="43">
        <v>94</v>
      </c>
      <c r="F11" s="43">
        <v>66</v>
      </c>
      <c r="G11" s="43" t="s">
        <v>145</v>
      </c>
      <c r="H11" s="43">
        <v>23</v>
      </c>
      <c r="I11" s="43" t="str">
        <f t="shared" si="0"/>
        <v>Mari Gopi</v>
      </c>
      <c r="J11" s="43">
        <f>IF(E11="", AVERAGEIF(Table13[Dept], D11, Table13[Mark]), E11)</f>
        <v>94</v>
      </c>
      <c r="K11" s="43">
        <f>IF(F11="", ROUND(AVERAGE(Table13[Attendance (%)]),0), F11)</f>
        <v>66</v>
      </c>
    </row>
    <row r="12" spans="1:11" ht="22.75" customHeight="1" x14ac:dyDescent="0.35">
      <c r="A12" s="43" t="s">
        <v>28</v>
      </c>
      <c r="B12" s="43" t="s">
        <v>29</v>
      </c>
      <c r="C12" s="43" t="s">
        <v>105</v>
      </c>
      <c r="D12" s="43" t="s">
        <v>7</v>
      </c>
      <c r="E12" s="43" t="s">
        <v>92</v>
      </c>
      <c r="F12" s="43">
        <v>65</v>
      </c>
      <c r="G12" s="43" t="s">
        <v>145</v>
      </c>
      <c r="H12" s="43">
        <v>24</v>
      </c>
      <c r="I12" s="43" t="str">
        <f t="shared" si="0"/>
        <v>Mahesh Sekar</v>
      </c>
      <c r="J12" s="43">
        <f>IF(E12="", AVERAGEIF(Table13[Dept], D12, Table13[Mark]), E12)</f>
        <v>65</v>
      </c>
      <c r="K12" s="43">
        <f>IF(F12="", ROUND(AVERAGE(Table13[Attendance (%)]),0), F12)</f>
        <v>65</v>
      </c>
    </row>
    <row r="13" spans="1:11" ht="22.75" customHeight="1" x14ac:dyDescent="0.35">
      <c r="A13" s="43" t="s">
        <v>30</v>
      </c>
      <c r="B13" s="43" t="s">
        <v>201</v>
      </c>
      <c r="C13" s="43" t="s">
        <v>106</v>
      </c>
      <c r="D13" s="43" t="s">
        <v>10</v>
      </c>
      <c r="E13" s="43">
        <v>51</v>
      </c>
      <c r="F13" s="43">
        <v>61</v>
      </c>
      <c r="G13" s="43" t="s">
        <v>146</v>
      </c>
      <c r="H13" s="43">
        <v>22</v>
      </c>
      <c r="I13" s="43" t="str">
        <f t="shared" si="0"/>
        <v>Sangeetha Raji</v>
      </c>
      <c r="J13" s="43">
        <f>IF(E13="", AVERAGEIF(Table13[Dept], D13, Table13[Mark]), E13)</f>
        <v>51</v>
      </c>
      <c r="K13" s="43">
        <f>IF(F13="", ROUND(AVERAGE(Table13[Attendance (%)]),0), F13)</f>
        <v>61</v>
      </c>
    </row>
    <row r="14" spans="1:11" ht="22.75" customHeight="1" x14ac:dyDescent="0.35">
      <c r="A14" s="43" t="s">
        <v>32</v>
      </c>
      <c r="B14" s="43" t="s">
        <v>33</v>
      </c>
      <c r="C14" s="43" t="s">
        <v>108</v>
      </c>
      <c r="D14" s="43" t="s">
        <v>7</v>
      </c>
      <c r="E14" s="43">
        <v>73</v>
      </c>
      <c r="F14" s="43">
        <v>91</v>
      </c>
      <c r="G14" s="43" t="s">
        <v>145</v>
      </c>
      <c r="H14" s="43">
        <v>25</v>
      </c>
      <c r="I14" s="43" t="str">
        <f t="shared" si="0"/>
        <v>Raghul Arul</v>
      </c>
      <c r="J14" s="43">
        <f>IF(E14="", AVERAGEIF(Table13[Dept], D14, Table13[Mark]), E14)</f>
        <v>73</v>
      </c>
      <c r="K14" s="43">
        <f>IF(F14="", ROUND(AVERAGE(Table13[Attendance (%)]),0), F14)</f>
        <v>91</v>
      </c>
    </row>
    <row r="15" spans="1:11" ht="22.75" customHeight="1" x14ac:dyDescent="0.35">
      <c r="A15" s="43" t="s">
        <v>34</v>
      </c>
      <c r="B15" s="43" t="s">
        <v>35</v>
      </c>
      <c r="C15" s="43" t="s">
        <v>109</v>
      </c>
      <c r="D15" s="43" t="s">
        <v>15</v>
      </c>
      <c r="E15" s="43">
        <v>60</v>
      </c>
      <c r="F15" s="43"/>
      <c r="G15" s="43" t="s">
        <v>146</v>
      </c>
      <c r="H15" s="43">
        <v>26</v>
      </c>
      <c r="I15" s="43" t="str">
        <f t="shared" si="0"/>
        <v>Jothi Radha</v>
      </c>
      <c r="J15" s="43">
        <f>IF(E15="", AVERAGEIF(Table13[Dept], D15, Table13[Mark]), E15)</f>
        <v>60</v>
      </c>
      <c r="K15" s="43">
        <f>IF(F15="", ROUND(AVERAGE(Table13[Attendance (%)]),0), F15)</f>
        <v>80</v>
      </c>
    </row>
    <row r="16" spans="1:11" ht="22.75" customHeight="1" x14ac:dyDescent="0.35">
      <c r="A16" s="43" t="s">
        <v>36</v>
      </c>
      <c r="B16" s="43" t="s">
        <v>37</v>
      </c>
      <c r="C16" s="43" t="s">
        <v>111</v>
      </c>
      <c r="D16" s="43" t="s">
        <v>15</v>
      </c>
      <c r="E16" s="43">
        <v>41</v>
      </c>
      <c r="F16" s="43">
        <v>88</v>
      </c>
      <c r="G16" s="43" t="s">
        <v>146</v>
      </c>
      <c r="H16" s="43">
        <v>27</v>
      </c>
      <c r="I16" s="43" t="str">
        <f t="shared" si="0"/>
        <v>Anisha Meena</v>
      </c>
      <c r="J16" s="43">
        <f>IF(E16="", AVERAGEIF(Table13[Dept], D16, Table13[Mark]), E16)</f>
        <v>41</v>
      </c>
      <c r="K16" s="43">
        <f>IF(F16="", ROUND(AVERAGE(Table13[Attendance (%)]),0), F16)</f>
        <v>88</v>
      </c>
    </row>
    <row r="17" spans="1:11" ht="22.75" customHeight="1" x14ac:dyDescent="0.35">
      <c r="A17" s="43" t="s">
        <v>38</v>
      </c>
      <c r="B17" s="43" t="s">
        <v>39</v>
      </c>
      <c r="C17" s="43" t="s">
        <v>113</v>
      </c>
      <c r="D17" s="43" t="s">
        <v>15</v>
      </c>
      <c r="E17" s="43">
        <v>35</v>
      </c>
      <c r="F17" s="43">
        <v>90</v>
      </c>
      <c r="G17" s="43" t="s">
        <v>145</v>
      </c>
      <c r="H17" s="43">
        <v>22</v>
      </c>
      <c r="I17" s="43" t="str">
        <f t="shared" si="0"/>
        <v>Venkat Hari</v>
      </c>
      <c r="J17" s="43">
        <f>IF(E17="", AVERAGEIF(Table13[Dept], D17, Table13[Mark]), E17)</f>
        <v>35</v>
      </c>
      <c r="K17" s="43">
        <f>IF(F17="", ROUND(AVERAGE(Table13[Attendance (%)]),0), F17)</f>
        <v>90</v>
      </c>
    </row>
    <row r="18" spans="1:11" ht="22.75" customHeight="1" x14ac:dyDescent="0.35">
      <c r="A18" s="43" t="s">
        <v>40</v>
      </c>
      <c r="B18" s="43" t="s">
        <v>41</v>
      </c>
      <c r="C18" s="43" t="s">
        <v>114</v>
      </c>
      <c r="D18" s="43" t="s">
        <v>10</v>
      </c>
      <c r="E18" s="43">
        <v>55</v>
      </c>
      <c r="F18" s="43">
        <v>96</v>
      </c>
      <c r="G18" s="43" t="s">
        <v>145</v>
      </c>
      <c r="H18" s="43">
        <v>24</v>
      </c>
      <c r="I18" s="43" t="str">
        <f t="shared" si="0"/>
        <v>Chandru Raja</v>
      </c>
      <c r="J18" s="43">
        <f>IF(E18="", AVERAGEIF(Table13[Dept], D18, Table13[Mark]), E18)</f>
        <v>55</v>
      </c>
      <c r="K18" s="43">
        <f>IF(F18="", ROUND(AVERAGE(Table13[Attendance (%)]),0), F18)</f>
        <v>96</v>
      </c>
    </row>
    <row r="19" spans="1:11" ht="22.75" customHeight="1" x14ac:dyDescent="0.35">
      <c r="A19" s="43" t="s">
        <v>42</v>
      </c>
      <c r="B19" s="43" t="s">
        <v>43</v>
      </c>
      <c r="C19" s="43" t="s">
        <v>90</v>
      </c>
      <c r="D19" s="43" t="s">
        <v>7</v>
      </c>
      <c r="E19" s="43">
        <v>74</v>
      </c>
      <c r="F19" s="43">
        <v>71</v>
      </c>
      <c r="G19" s="43" t="s">
        <v>145</v>
      </c>
      <c r="H19" s="43">
        <v>23</v>
      </c>
      <c r="I19" s="43" t="str">
        <f t="shared" si="0"/>
        <v>Dinesh Kumar</v>
      </c>
      <c r="J19" s="43">
        <f>IF(E19="", AVERAGEIF(Table13[Dept], D19, Table13[Mark]), E19)</f>
        <v>74</v>
      </c>
      <c r="K19" s="43">
        <f>IF(F19="", ROUND(AVERAGE(Table13[Attendance (%)]),0), F19)</f>
        <v>71</v>
      </c>
    </row>
    <row r="20" spans="1:11" ht="22.75" customHeight="1" x14ac:dyDescent="0.35">
      <c r="A20" s="43" t="s">
        <v>44</v>
      </c>
      <c r="B20" s="43" t="s">
        <v>45</v>
      </c>
      <c r="C20" s="43" t="s">
        <v>96</v>
      </c>
      <c r="D20" s="43" t="s">
        <v>10</v>
      </c>
      <c r="E20" s="43"/>
      <c r="F20" s="43">
        <v>62</v>
      </c>
      <c r="G20" s="43" t="s">
        <v>146</v>
      </c>
      <c r="H20" s="43">
        <v>21</v>
      </c>
      <c r="I20" s="43" t="str">
        <f t="shared" si="0"/>
        <v>Poorvika Devi</v>
      </c>
      <c r="J20" s="43">
        <f>IF(E20="", AVERAGEIF(Table13[Dept], D20, Table13[Mark]), E20)</f>
        <v>66</v>
      </c>
      <c r="K20" s="43">
        <f>IF(F20="", ROUND(AVERAGE(Table13[Attendance (%)]),0), F20)</f>
        <v>62</v>
      </c>
    </row>
    <row r="21" spans="1:11" ht="22.75" customHeight="1" x14ac:dyDescent="0.35">
      <c r="A21" s="43" t="s">
        <v>46</v>
      </c>
      <c r="B21" s="43" t="s">
        <v>47</v>
      </c>
      <c r="C21" s="43" t="s">
        <v>115</v>
      </c>
      <c r="D21" s="43" t="s">
        <v>15</v>
      </c>
      <c r="E21" s="43">
        <v>53</v>
      </c>
      <c r="F21" s="43">
        <v>100</v>
      </c>
      <c r="G21" s="43" t="s">
        <v>145</v>
      </c>
      <c r="H21" s="43">
        <v>25</v>
      </c>
      <c r="I21" s="43" t="str">
        <f t="shared" si="0"/>
        <v>Vimal Arasu</v>
      </c>
      <c r="J21" s="43">
        <f>IF(E21="", AVERAGEIF(Table13[Dept], D21, Table13[Mark]), E21)</f>
        <v>53</v>
      </c>
      <c r="K21" s="43">
        <f>IF(F21="", ROUND(AVERAGE(Table13[Attendance (%)]),0), F21)</f>
        <v>100</v>
      </c>
    </row>
    <row r="22" spans="1:11" ht="22.75" customHeight="1" x14ac:dyDescent="0.35">
      <c r="A22" s="43" t="s">
        <v>40</v>
      </c>
      <c r="B22" s="43" t="s">
        <v>41</v>
      </c>
      <c r="C22" s="43" t="s">
        <v>114</v>
      </c>
      <c r="D22" s="43" t="s">
        <v>10</v>
      </c>
      <c r="E22" s="43">
        <v>55</v>
      </c>
      <c r="F22" s="43">
        <v>96</v>
      </c>
      <c r="G22" s="43" t="s">
        <v>145</v>
      </c>
      <c r="H22" s="43">
        <v>24</v>
      </c>
      <c r="I22" s="43" t="str">
        <f t="shared" si="0"/>
        <v>Chandru Raja</v>
      </c>
      <c r="J22" s="43">
        <f>IF(E22="", AVERAGEIF(Table13[Dept], D22, Table13[Mark]), E22)</f>
        <v>55</v>
      </c>
      <c r="K22" s="43">
        <f>IF(F22="", ROUND(AVERAGE(Table13[Attendance (%)]),0), F22)</f>
        <v>96</v>
      </c>
    </row>
    <row r="23" spans="1:11" ht="22.75" customHeight="1" x14ac:dyDescent="0.35">
      <c r="A23" s="43" t="s">
        <v>48</v>
      </c>
      <c r="B23" s="43" t="s">
        <v>49</v>
      </c>
      <c r="C23" s="43" t="s">
        <v>116</v>
      </c>
      <c r="D23" s="43" t="s">
        <v>10</v>
      </c>
      <c r="E23" s="43">
        <v>80</v>
      </c>
      <c r="F23" s="43">
        <v>67</v>
      </c>
      <c r="G23" s="43" t="s">
        <v>145</v>
      </c>
      <c r="H23" s="43">
        <v>26</v>
      </c>
      <c r="I23" s="43" t="str">
        <f t="shared" si="0"/>
        <v>Parthiban Bala</v>
      </c>
      <c r="J23" s="43">
        <f>IF(E23="", AVERAGEIF(Table13[Dept], D23, Table13[Mark]), E23)</f>
        <v>80</v>
      </c>
      <c r="K23" s="43">
        <f>IF(F23="", ROUND(AVERAGE(Table13[Attendance (%)]),0), F23)</f>
        <v>67</v>
      </c>
    </row>
    <row r="24" spans="1:11" ht="22.75" customHeight="1" x14ac:dyDescent="0.35">
      <c r="A24" s="43" t="s">
        <v>50</v>
      </c>
      <c r="B24" s="43" t="s">
        <v>51</v>
      </c>
      <c r="C24" s="43" t="s">
        <v>117</v>
      </c>
      <c r="D24" s="43" t="s">
        <v>7</v>
      </c>
      <c r="E24" s="43">
        <v>62</v>
      </c>
      <c r="F24" s="43">
        <v>83</v>
      </c>
      <c r="G24" s="43" t="s">
        <v>145</v>
      </c>
      <c r="H24" s="43">
        <v>23</v>
      </c>
      <c r="I24" s="43" t="str">
        <f t="shared" si="0"/>
        <v>Santhosh Gokul</v>
      </c>
      <c r="J24" s="43">
        <f>IF(E24="", AVERAGEIF(Table13[Dept], D24, Table13[Mark]), E24)</f>
        <v>62</v>
      </c>
      <c r="K24" s="43">
        <f>IF(F24="", ROUND(AVERAGE(Table13[Attendance (%)]),0), F24)</f>
        <v>83</v>
      </c>
    </row>
    <row r="25" spans="1:11" ht="22.75" customHeight="1" x14ac:dyDescent="0.35">
      <c r="A25" s="43" t="s">
        <v>52</v>
      </c>
      <c r="B25" s="43" t="s">
        <v>53</v>
      </c>
      <c r="C25" s="43" t="s">
        <v>204</v>
      </c>
      <c r="D25" s="43" t="s">
        <v>7</v>
      </c>
      <c r="E25" s="43">
        <v>98</v>
      </c>
      <c r="F25" s="43">
        <v>92</v>
      </c>
      <c r="G25" s="43" t="s">
        <v>146</v>
      </c>
      <c r="H25" s="43">
        <v>24</v>
      </c>
      <c r="I25" s="43" t="str">
        <f t="shared" si="0"/>
        <v>Keerthika Divya</v>
      </c>
      <c r="J25" s="43">
        <f>IF(E25="", AVERAGEIF(Table13[Dept], D25, Table13[Mark]), E25)</f>
        <v>98</v>
      </c>
      <c r="K25" s="43">
        <f>IF(F25="", ROUND(AVERAGE(Table13[Attendance (%)]),0), F25)</f>
        <v>92</v>
      </c>
    </row>
    <row r="26" spans="1:11" ht="22.75" customHeight="1" x14ac:dyDescent="0.35">
      <c r="A26" s="43" t="s">
        <v>54</v>
      </c>
      <c r="B26" s="43" t="s">
        <v>55</v>
      </c>
      <c r="C26" s="43" t="s">
        <v>120</v>
      </c>
      <c r="D26" s="43" t="s">
        <v>7</v>
      </c>
      <c r="E26" s="43">
        <v>41</v>
      </c>
      <c r="F26" s="43">
        <v>62</v>
      </c>
      <c r="G26" s="43" t="s">
        <v>146</v>
      </c>
      <c r="H26" s="43">
        <v>28</v>
      </c>
      <c r="I26" s="43" t="str">
        <f t="shared" si="0"/>
        <v>Reeta Yamuna</v>
      </c>
      <c r="J26" s="43">
        <f>IF(E26="", AVERAGEIF(Table13[Dept], D26, Table13[Mark]), E26)</f>
        <v>41</v>
      </c>
      <c r="K26" s="43">
        <f>IF(F26="", ROUND(AVERAGE(Table13[Attendance (%)]),0), F26)</f>
        <v>62</v>
      </c>
    </row>
    <row r="27" spans="1:11" ht="22.75" customHeight="1" x14ac:dyDescent="0.35">
      <c r="A27" s="43" t="s">
        <v>56</v>
      </c>
      <c r="B27" s="43" t="s">
        <v>57</v>
      </c>
      <c r="C27" s="43" t="s">
        <v>121</v>
      </c>
      <c r="D27" s="43" t="s">
        <v>10</v>
      </c>
      <c r="E27" s="43">
        <v>37</v>
      </c>
      <c r="F27" s="43">
        <v>73</v>
      </c>
      <c r="G27" s="43" t="s">
        <v>146</v>
      </c>
      <c r="H27" s="43">
        <v>25</v>
      </c>
      <c r="I27" s="43" t="str">
        <f t="shared" si="0"/>
        <v>Lalitha Nila</v>
      </c>
      <c r="J27" s="43">
        <f>IF(E27="", AVERAGEIF(Table13[Dept], D27, Table13[Mark]), E27)</f>
        <v>37</v>
      </c>
      <c r="K27" s="43">
        <f>IF(F27="", ROUND(AVERAGE(Table13[Attendance (%)]),0), F27)</f>
        <v>73</v>
      </c>
    </row>
    <row r="28" spans="1:11" ht="22.75" customHeight="1" x14ac:dyDescent="0.35">
      <c r="A28" s="43" t="s">
        <v>58</v>
      </c>
      <c r="B28" s="43" t="s">
        <v>59</v>
      </c>
      <c r="C28" s="43" t="s">
        <v>123</v>
      </c>
      <c r="D28" s="43" t="s">
        <v>15</v>
      </c>
      <c r="E28" s="43">
        <v>76</v>
      </c>
      <c r="F28" s="43">
        <v>80</v>
      </c>
      <c r="G28" s="43" t="s">
        <v>145</v>
      </c>
      <c r="H28" s="43">
        <v>27</v>
      </c>
      <c r="I28" s="43" t="str">
        <f t="shared" si="0"/>
        <v>Sridhar Ramu</v>
      </c>
      <c r="J28" s="43">
        <f>IF(E28="", AVERAGEIF(Table13[Dept], D28, Table13[Mark]), E28)</f>
        <v>76</v>
      </c>
      <c r="K28" s="43">
        <f>IF(F28="", ROUND(AVERAGE(Table13[Attendance (%)]),0), F28)</f>
        <v>80</v>
      </c>
    </row>
    <row r="29" spans="1:11" ht="22.75" customHeight="1" x14ac:dyDescent="0.35">
      <c r="A29" s="43" t="s">
        <v>40</v>
      </c>
      <c r="B29" s="43" t="s">
        <v>41</v>
      </c>
      <c r="C29" s="43" t="s">
        <v>114</v>
      </c>
      <c r="D29" s="43" t="s">
        <v>10</v>
      </c>
      <c r="E29" s="43">
        <v>55</v>
      </c>
      <c r="F29" s="43">
        <v>96</v>
      </c>
      <c r="G29" s="43" t="s">
        <v>145</v>
      </c>
      <c r="H29" s="43">
        <v>24</v>
      </c>
      <c r="I29" s="43" t="str">
        <f t="shared" si="0"/>
        <v>Chandru Raja</v>
      </c>
      <c r="J29" s="43">
        <f>IF(E29="", AVERAGEIF(Table13[Dept], D29, Table13[Mark]), E29)</f>
        <v>55</v>
      </c>
      <c r="K29" s="43">
        <f>IF(F29="", ROUND(AVERAGE(Table13[Attendance (%)]),0), F29)</f>
        <v>96</v>
      </c>
    </row>
    <row r="30" spans="1:11" ht="22.75" customHeight="1" x14ac:dyDescent="0.35">
      <c r="A30" s="43" t="s">
        <v>60</v>
      </c>
      <c r="B30" s="43" t="s">
        <v>61</v>
      </c>
      <c r="C30" s="43" t="s">
        <v>124</v>
      </c>
      <c r="D30" s="43" t="s">
        <v>15</v>
      </c>
      <c r="E30" s="43">
        <v>99</v>
      </c>
      <c r="F30" s="43">
        <v>84</v>
      </c>
      <c r="G30" s="43" t="s">
        <v>146</v>
      </c>
      <c r="H30" s="43">
        <v>26</v>
      </c>
      <c r="I30" s="43" t="str">
        <f t="shared" si="0"/>
        <v>Kavitha Banu</v>
      </c>
      <c r="J30" s="43">
        <f>IF(E30="", AVERAGEIF(Table13[Dept], D30, Table13[Mark]), E30)</f>
        <v>99</v>
      </c>
      <c r="K30" s="43">
        <f>IF(F30="", ROUND(AVERAGE(Table13[Attendance (%)]),0), F30)</f>
        <v>84</v>
      </c>
    </row>
    <row r="31" spans="1:11" ht="22.75" customHeight="1" x14ac:dyDescent="0.35">
      <c r="A31" s="43" t="s">
        <v>62</v>
      </c>
      <c r="B31" s="43" t="s">
        <v>63</v>
      </c>
      <c r="C31" s="43" t="s">
        <v>125</v>
      </c>
      <c r="D31" s="43" t="s">
        <v>15</v>
      </c>
      <c r="E31" s="43"/>
      <c r="F31" s="43">
        <v>65</v>
      </c>
      <c r="G31" s="43" t="s">
        <v>145</v>
      </c>
      <c r="H31" s="43">
        <v>23</v>
      </c>
      <c r="I31" s="43" t="str">
        <f t="shared" si="0"/>
        <v>Murugesan Kani</v>
      </c>
      <c r="J31" s="43">
        <f>IF(E31="", AVERAGEIF(Table13[Dept], D31, Table13[Mark]), E31)</f>
        <v>68.307692307692307</v>
      </c>
      <c r="K31" s="43">
        <f>IF(F31="", ROUND(AVERAGE(Table13[Attendance (%)]),0), F31)</f>
        <v>65</v>
      </c>
    </row>
    <row r="32" spans="1:11" ht="22.75" customHeight="1" x14ac:dyDescent="0.35">
      <c r="A32" s="43" t="s">
        <v>64</v>
      </c>
      <c r="B32" s="43" t="s">
        <v>65</v>
      </c>
      <c r="C32" s="43" t="s">
        <v>126</v>
      </c>
      <c r="D32" s="43" t="s">
        <v>7</v>
      </c>
      <c r="E32" s="43">
        <v>54</v>
      </c>
      <c r="F32" s="43">
        <v>99</v>
      </c>
      <c r="G32" s="43" t="s">
        <v>145</v>
      </c>
      <c r="H32" s="43">
        <v>28</v>
      </c>
      <c r="I32" s="43" t="str">
        <f t="shared" si="0"/>
        <v>Gandhi Selvam</v>
      </c>
      <c r="J32" s="43">
        <f>IF(E32="", AVERAGEIF(Table13[Dept], D32, Table13[Mark]), E32)</f>
        <v>54</v>
      </c>
      <c r="K32" s="43">
        <f>IF(F32="", ROUND(AVERAGE(Table13[Attendance (%)]),0), F32)</f>
        <v>99</v>
      </c>
    </row>
    <row r="33" spans="1:11" ht="22.75" customHeight="1" x14ac:dyDescent="0.35">
      <c r="A33" s="43" t="s">
        <v>66</v>
      </c>
      <c r="B33" s="43" t="s">
        <v>59</v>
      </c>
      <c r="C33" s="43" t="s">
        <v>123</v>
      </c>
      <c r="D33" s="43" t="s">
        <v>15</v>
      </c>
      <c r="E33" s="43">
        <v>76</v>
      </c>
      <c r="F33" s="43">
        <v>80</v>
      </c>
      <c r="G33" s="43" t="s">
        <v>145</v>
      </c>
      <c r="H33" s="43">
        <v>27</v>
      </c>
      <c r="I33" s="43" t="str">
        <f t="shared" si="0"/>
        <v>Sridhar Ramu</v>
      </c>
      <c r="J33" s="43">
        <f>IF(E33="", AVERAGEIF(Table13[Dept], D33, Table13[Mark]), E33)</f>
        <v>76</v>
      </c>
      <c r="K33" s="43">
        <f>IF(F33="", ROUND(AVERAGE(Table13[Attendance (%)]),0), F33)</f>
        <v>80</v>
      </c>
    </row>
    <row r="34" spans="1:11" ht="22.75" customHeight="1" x14ac:dyDescent="0.35">
      <c r="A34" s="43" t="s">
        <v>67</v>
      </c>
      <c r="B34" s="43" t="s">
        <v>68</v>
      </c>
      <c r="C34" s="43" t="s">
        <v>96</v>
      </c>
      <c r="D34" s="43" t="s">
        <v>10</v>
      </c>
      <c r="E34" s="43">
        <v>90</v>
      </c>
      <c r="F34" s="43">
        <v>66</v>
      </c>
      <c r="G34" s="43" t="s">
        <v>146</v>
      </c>
      <c r="H34" s="43">
        <v>22</v>
      </c>
      <c r="I34" s="43" t="str">
        <f t="shared" si="0"/>
        <v>Varshini Devi</v>
      </c>
      <c r="J34" s="43">
        <f>IF(E34="", AVERAGEIF(Table13[Dept], D34, Table13[Mark]), E34)</f>
        <v>90</v>
      </c>
      <c r="K34" s="43">
        <f>IF(F34="", ROUND(AVERAGE(Table13[Attendance (%)]),0), F34)</f>
        <v>66</v>
      </c>
    </row>
    <row r="35" spans="1:11" ht="22.75" customHeight="1" x14ac:dyDescent="0.35">
      <c r="A35" s="43" t="s">
        <v>69</v>
      </c>
      <c r="B35" s="43" t="s">
        <v>70</v>
      </c>
      <c r="C35" s="43" t="s">
        <v>127</v>
      </c>
      <c r="D35" s="43" t="s">
        <v>7</v>
      </c>
      <c r="E35" s="43">
        <v>80</v>
      </c>
      <c r="F35" s="43">
        <v>91</v>
      </c>
      <c r="G35" s="43" t="s">
        <v>146</v>
      </c>
      <c r="H35" s="43">
        <v>29</v>
      </c>
      <c r="I35" s="43" t="str">
        <f t="shared" si="0"/>
        <v>Indhumathi Nithya</v>
      </c>
      <c r="J35" s="43">
        <f>IF(E35="", AVERAGEIF(Table13[Dept], D35, Table13[Mark]), E35)</f>
        <v>80</v>
      </c>
      <c r="K35" s="43">
        <f>IF(F35="", ROUND(AVERAGE(Table13[Attendance (%)]),0), F35)</f>
        <v>91</v>
      </c>
    </row>
    <row r="36" spans="1:11" ht="22.75" customHeight="1" x14ac:dyDescent="0.35">
      <c r="A36" s="43" t="s">
        <v>71</v>
      </c>
      <c r="B36" s="43" t="s">
        <v>72</v>
      </c>
      <c r="C36" s="43" t="s">
        <v>128</v>
      </c>
      <c r="D36" s="43" t="s">
        <v>10</v>
      </c>
      <c r="E36" s="43">
        <v>57</v>
      </c>
      <c r="F36" s="43">
        <v>72</v>
      </c>
      <c r="G36" s="43" t="s">
        <v>146</v>
      </c>
      <c r="H36" s="43">
        <v>23</v>
      </c>
      <c r="I36" s="43" t="str">
        <f t="shared" si="0"/>
        <v>Janani Uma</v>
      </c>
      <c r="J36" s="43">
        <f>IF(E36="", AVERAGEIF(Table13[Dept], D36, Table13[Mark]), E36)</f>
        <v>57</v>
      </c>
      <c r="K36" s="43">
        <f>IF(F36="", ROUND(AVERAGE(Table13[Attendance (%)]),0), F36)</f>
        <v>72</v>
      </c>
    </row>
    <row r="37" spans="1:11" ht="22.75" customHeight="1" x14ac:dyDescent="0.35">
      <c r="A37" s="43" t="s">
        <v>73</v>
      </c>
      <c r="B37" s="43" t="s">
        <v>74</v>
      </c>
      <c r="C37" s="43" t="s">
        <v>129</v>
      </c>
      <c r="D37" s="43" t="s">
        <v>10</v>
      </c>
      <c r="E37" s="43">
        <v>92</v>
      </c>
      <c r="F37" s="43">
        <v>87</v>
      </c>
      <c r="G37" s="43" t="s">
        <v>145</v>
      </c>
      <c r="H37" s="43">
        <v>25</v>
      </c>
      <c r="I37" s="43" t="str">
        <f t="shared" si="0"/>
        <v>Bharath Guru</v>
      </c>
      <c r="J37" s="43">
        <f>IF(E37="", AVERAGEIF(Table13[Dept], D37, Table13[Mark]), E37)</f>
        <v>92</v>
      </c>
      <c r="K37" s="43">
        <f>IF(F37="", ROUND(AVERAGE(Table13[Attendance (%)]),0), F37)</f>
        <v>87</v>
      </c>
    </row>
    <row r="38" spans="1:11" ht="22.75" customHeight="1" x14ac:dyDescent="0.35">
      <c r="A38" s="43" t="s">
        <v>75</v>
      </c>
      <c r="B38" s="43" t="s">
        <v>76</v>
      </c>
      <c r="C38" s="43" t="s">
        <v>130</v>
      </c>
      <c r="D38" s="43" t="s">
        <v>7</v>
      </c>
      <c r="E38" s="43">
        <v>52</v>
      </c>
      <c r="F38" s="43">
        <v>84</v>
      </c>
      <c r="G38" s="43" t="s">
        <v>145</v>
      </c>
      <c r="H38" s="43">
        <v>22</v>
      </c>
      <c r="I38" s="43" t="str">
        <f t="shared" si="0"/>
        <v>Akash Vignesh</v>
      </c>
      <c r="J38" s="43">
        <f>IF(E38="", AVERAGEIF(Table13[Dept], D38, Table13[Mark]), E38)</f>
        <v>52</v>
      </c>
      <c r="K38" s="43">
        <f>IF(F38="", ROUND(AVERAGE(Table13[Attendance (%)]),0), F38)</f>
        <v>84</v>
      </c>
    </row>
    <row r="39" spans="1:11" ht="22.75" customHeight="1" x14ac:dyDescent="0.35">
      <c r="A39" s="43" t="s">
        <v>77</v>
      </c>
      <c r="B39" s="43" t="s">
        <v>63</v>
      </c>
      <c r="C39" s="43" t="s">
        <v>203</v>
      </c>
      <c r="D39" s="43" t="s">
        <v>15</v>
      </c>
      <c r="E39" s="43">
        <v>53</v>
      </c>
      <c r="F39" s="43">
        <v>65</v>
      </c>
      <c r="G39" s="43" t="s">
        <v>145</v>
      </c>
      <c r="H39" s="43">
        <v>23</v>
      </c>
      <c r="I39" s="43" t="str">
        <f t="shared" si="0"/>
        <v>Murugesan Kani</v>
      </c>
      <c r="J39" s="43">
        <f>IF(E39="", AVERAGEIF(Table13[Dept], D39, Table13[Mark]), E39)</f>
        <v>53</v>
      </c>
      <c r="K39" s="43">
        <f>IF(F39="", ROUND(AVERAGE(Table13[Attendance (%)]),0), F39)</f>
        <v>65</v>
      </c>
    </row>
    <row r="40" spans="1:11" ht="22.75" customHeight="1" x14ac:dyDescent="0.35">
      <c r="A40" s="43" t="s">
        <v>78</v>
      </c>
      <c r="B40" s="43" t="s">
        <v>79</v>
      </c>
      <c r="C40" s="43" t="s">
        <v>131</v>
      </c>
      <c r="D40" s="43" t="s">
        <v>15</v>
      </c>
      <c r="E40" s="43">
        <v>97</v>
      </c>
      <c r="F40" s="43">
        <v>88</v>
      </c>
      <c r="G40" s="43" t="s">
        <v>145</v>
      </c>
      <c r="H40" s="43">
        <v>24</v>
      </c>
      <c r="I40" s="43" t="str">
        <f t="shared" si="0"/>
        <v>Nirmal Prakash</v>
      </c>
      <c r="J40" s="43">
        <f>IF(E40="", AVERAGEIF(Table13[Dept], D40, Table13[Mark]), E40)</f>
        <v>97</v>
      </c>
      <c r="K40" s="43">
        <f>IF(F40="", ROUND(AVERAGE(Table13[Attendance (%)]),0), F40)</f>
        <v>88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0D873-B87C-4C46-A3AE-EA14001A5DF5}">
  <dimension ref="A1:M40"/>
  <sheetViews>
    <sheetView tabSelected="1" workbookViewId="0">
      <selection activeCell="H7" sqref="H7"/>
    </sheetView>
  </sheetViews>
  <sheetFormatPr defaultRowHeight="14.5" x14ac:dyDescent="0.35"/>
  <cols>
    <col min="1" max="1" width="15.08984375" bestFit="1" customWidth="1"/>
    <col min="2" max="2" width="24.1796875" bestFit="1" customWidth="1"/>
    <col min="3" max="3" width="14.36328125" bestFit="1" customWidth="1"/>
    <col min="4" max="4" width="14.453125" bestFit="1" customWidth="1"/>
    <col min="5" max="5" width="7.90625" bestFit="1" customWidth="1"/>
    <col min="6" max="6" width="20.36328125" bestFit="1" customWidth="1"/>
    <col min="7" max="7" width="10.453125" bestFit="1" customWidth="1"/>
    <col min="8" max="8" width="6" bestFit="1" customWidth="1"/>
    <col min="9" max="9" width="14.6328125" bestFit="1" customWidth="1"/>
    <col min="10" max="10" width="9.08984375" bestFit="1" customWidth="1"/>
    <col min="11" max="11" width="21.6328125" bestFit="1" customWidth="1"/>
  </cols>
  <sheetData>
    <row r="1" spans="1:13" ht="21" x14ac:dyDescent="0.5">
      <c r="A1" s="46" t="s">
        <v>0</v>
      </c>
      <c r="B1" s="46" t="s">
        <v>206</v>
      </c>
      <c r="C1" s="46" t="s">
        <v>144</v>
      </c>
      <c r="D1" s="46" t="s">
        <v>2</v>
      </c>
      <c r="E1" s="46" t="s">
        <v>147</v>
      </c>
      <c r="F1" s="46" t="s">
        <v>208</v>
      </c>
      <c r="G1" s="46" t="s">
        <v>207</v>
      </c>
      <c r="J1" s="1"/>
      <c r="K1" s="1"/>
      <c r="L1" s="1"/>
      <c r="M1" s="1"/>
    </row>
    <row r="2" spans="1:13" ht="21" x14ac:dyDescent="0.5">
      <c r="A2" s="45" t="s">
        <v>5</v>
      </c>
      <c r="B2" s="45" t="s">
        <v>209</v>
      </c>
      <c r="C2" s="45" t="s">
        <v>145</v>
      </c>
      <c r="D2" s="45" t="s">
        <v>7</v>
      </c>
      <c r="E2" s="45">
        <v>22</v>
      </c>
      <c r="F2" s="45">
        <v>76</v>
      </c>
      <c r="G2" s="45">
        <v>82</v>
      </c>
      <c r="H2" s="1"/>
      <c r="I2" s="1"/>
      <c r="J2" s="1"/>
      <c r="K2" s="1"/>
      <c r="L2" s="1"/>
      <c r="M2" s="1"/>
    </row>
    <row r="3" spans="1:13" ht="21" x14ac:dyDescent="0.5">
      <c r="A3" s="45" t="s">
        <v>8</v>
      </c>
      <c r="B3" s="45" t="s">
        <v>210</v>
      </c>
      <c r="C3" s="45" t="s">
        <v>145</v>
      </c>
      <c r="D3" s="45" t="s">
        <v>7</v>
      </c>
      <c r="E3" s="45">
        <v>34</v>
      </c>
      <c r="F3" s="45">
        <v>71</v>
      </c>
      <c r="G3" s="45">
        <v>80</v>
      </c>
      <c r="H3" s="1"/>
      <c r="I3" s="1"/>
      <c r="J3" s="1"/>
      <c r="K3" s="1"/>
      <c r="L3" s="1"/>
      <c r="M3" s="1"/>
    </row>
    <row r="4" spans="1:13" ht="21" x14ac:dyDescent="0.5">
      <c r="A4" s="45" t="s">
        <v>11</v>
      </c>
      <c r="B4" s="45" t="s">
        <v>211</v>
      </c>
      <c r="C4" s="45" t="s">
        <v>146</v>
      </c>
      <c r="D4" s="45" t="s">
        <v>7</v>
      </c>
      <c r="E4" s="45">
        <v>21</v>
      </c>
      <c r="F4" s="45">
        <v>39</v>
      </c>
      <c r="G4" s="45">
        <v>65</v>
      </c>
      <c r="H4" s="1"/>
      <c r="I4" s="1"/>
      <c r="J4" s="1"/>
      <c r="K4" s="1"/>
      <c r="L4" s="1"/>
      <c r="M4" s="1"/>
    </row>
    <row r="5" spans="1:13" ht="21" x14ac:dyDescent="0.5">
      <c r="A5" s="45" t="s">
        <v>13</v>
      </c>
      <c r="B5" s="45" t="s">
        <v>212</v>
      </c>
      <c r="C5" s="45" t="s">
        <v>145</v>
      </c>
      <c r="D5" s="45" t="s">
        <v>15</v>
      </c>
      <c r="E5" s="45">
        <v>25</v>
      </c>
      <c r="F5" s="45">
        <v>72</v>
      </c>
      <c r="G5" s="45">
        <v>93</v>
      </c>
      <c r="H5" s="1"/>
      <c r="I5" s="1"/>
      <c r="J5" s="1"/>
      <c r="K5" s="1"/>
      <c r="L5" s="1"/>
      <c r="M5" s="1"/>
    </row>
    <row r="6" spans="1:13" ht="21" x14ac:dyDescent="0.5">
      <c r="A6" s="45" t="s">
        <v>16</v>
      </c>
      <c r="B6" s="45" t="s">
        <v>213</v>
      </c>
      <c r="C6" s="45" t="s">
        <v>146</v>
      </c>
      <c r="D6" s="45" t="s">
        <v>10</v>
      </c>
      <c r="E6" s="45">
        <v>23</v>
      </c>
      <c r="F6" s="45">
        <v>60</v>
      </c>
      <c r="G6" s="45">
        <v>73</v>
      </c>
      <c r="H6" s="1"/>
      <c r="I6" s="1"/>
      <c r="J6" s="1"/>
      <c r="K6" s="1"/>
    </row>
    <row r="7" spans="1:13" ht="21" x14ac:dyDescent="0.5">
      <c r="A7" s="45" t="s">
        <v>18</v>
      </c>
      <c r="B7" s="45" t="s">
        <v>214</v>
      </c>
      <c r="C7" s="45" t="s">
        <v>145</v>
      </c>
      <c r="D7" s="45" t="s">
        <v>15</v>
      </c>
      <c r="E7" s="45">
        <v>26</v>
      </c>
      <c r="F7" s="45">
        <v>84</v>
      </c>
      <c r="G7" s="45">
        <v>62</v>
      </c>
      <c r="H7" s="1"/>
      <c r="I7" s="1"/>
      <c r="J7" s="1"/>
      <c r="K7" s="1"/>
    </row>
    <row r="8" spans="1:13" ht="21" x14ac:dyDescent="0.5">
      <c r="A8" s="45" t="s">
        <v>20</v>
      </c>
      <c r="B8" s="45" t="s">
        <v>215</v>
      </c>
      <c r="C8" s="45" t="s">
        <v>146</v>
      </c>
      <c r="D8" s="45" t="s">
        <v>7</v>
      </c>
      <c r="E8" s="45">
        <v>29</v>
      </c>
      <c r="F8" s="45">
        <v>60</v>
      </c>
      <c r="G8" s="45">
        <v>86</v>
      </c>
      <c r="H8" s="1"/>
      <c r="I8" s="1"/>
      <c r="J8" s="1"/>
      <c r="K8" s="1"/>
    </row>
    <row r="9" spans="1:13" ht="21" x14ac:dyDescent="0.5">
      <c r="A9" s="45" t="s">
        <v>22</v>
      </c>
      <c r="B9" s="45" t="s">
        <v>216</v>
      </c>
      <c r="C9" s="45" t="s">
        <v>146</v>
      </c>
      <c r="D9" s="45" t="s">
        <v>15</v>
      </c>
      <c r="E9" s="45">
        <v>28</v>
      </c>
      <c r="F9" s="45">
        <v>98</v>
      </c>
      <c r="G9" s="45">
        <v>96</v>
      </c>
      <c r="H9" s="1"/>
      <c r="I9" s="1"/>
      <c r="J9" s="1"/>
      <c r="K9" s="1"/>
    </row>
    <row r="10" spans="1:13" ht="21" x14ac:dyDescent="0.5">
      <c r="A10" s="45" t="s">
        <v>24</v>
      </c>
      <c r="B10" s="45" t="s">
        <v>217</v>
      </c>
      <c r="C10" s="45" t="s">
        <v>145</v>
      </c>
      <c r="D10" s="45" t="s">
        <v>15</v>
      </c>
      <c r="E10" s="45">
        <v>22</v>
      </c>
      <c r="F10" s="45">
        <v>44</v>
      </c>
      <c r="G10" s="45">
        <v>95</v>
      </c>
      <c r="H10" s="1"/>
      <c r="I10" s="1"/>
      <c r="J10" s="1"/>
      <c r="K10" s="1"/>
    </row>
    <row r="11" spans="1:13" ht="21" x14ac:dyDescent="0.5">
      <c r="A11" s="45" t="s">
        <v>26</v>
      </c>
      <c r="B11" s="45" t="s">
        <v>218</v>
      </c>
      <c r="C11" s="45" t="s">
        <v>145</v>
      </c>
      <c r="D11" s="45" t="s">
        <v>10</v>
      </c>
      <c r="E11" s="45">
        <v>23</v>
      </c>
      <c r="F11" s="45">
        <v>94</v>
      </c>
      <c r="G11" s="45">
        <v>66</v>
      </c>
      <c r="H11" s="1"/>
      <c r="I11" s="1"/>
      <c r="J11" s="1"/>
      <c r="K11" s="1"/>
    </row>
    <row r="12" spans="1:13" ht="21" x14ac:dyDescent="0.5">
      <c r="A12" s="45" t="s">
        <v>28</v>
      </c>
      <c r="B12" s="45" t="s">
        <v>219</v>
      </c>
      <c r="C12" s="45" t="s">
        <v>145</v>
      </c>
      <c r="D12" s="45" t="s">
        <v>7</v>
      </c>
      <c r="E12" s="45">
        <v>24</v>
      </c>
      <c r="F12" s="45">
        <v>65</v>
      </c>
      <c r="G12" s="45">
        <v>65</v>
      </c>
      <c r="H12" s="1"/>
      <c r="I12" s="1"/>
      <c r="J12" s="1"/>
      <c r="K12" s="1"/>
    </row>
    <row r="13" spans="1:13" ht="21" x14ac:dyDescent="0.5">
      <c r="A13" s="45" t="s">
        <v>30</v>
      </c>
      <c r="B13" s="45" t="s">
        <v>220</v>
      </c>
      <c r="C13" s="45" t="s">
        <v>146</v>
      </c>
      <c r="D13" s="45" t="s">
        <v>10</v>
      </c>
      <c r="E13" s="45">
        <v>22</v>
      </c>
      <c r="F13" s="45">
        <v>51</v>
      </c>
      <c r="G13" s="45">
        <v>61</v>
      </c>
      <c r="H13" s="1"/>
      <c r="I13" s="1"/>
      <c r="J13" s="1"/>
      <c r="K13" s="1"/>
    </row>
    <row r="14" spans="1:13" ht="21" x14ac:dyDescent="0.5">
      <c r="A14" s="45" t="s">
        <v>32</v>
      </c>
      <c r="B14" s="45" t="s">
        <v>221</v>
      </c>
      <c r="C14" s="45" t="s">
        <v>145</v>
      </c>
      <c r="D14" s="45" t="s">
        <v>7</v>
      </c>
      <c r="E14" s="45">
        <v>25</v>
      </c>
      <c r="F14" s="45">
        <v>73</v>
      </c>
      <c r="G14" s="45">
        <v>91</v>
      </c>
      <c r="H14" s="1"/>
      <c r="I14" s="1"/>
      <c r="J14" s="1"/>
      <c r="K14" s="1"/>
    </row>
    <row r="15" spans="1:13" ht="21" x14ac:dyDescent="0.5">
      <c r="A15" s="45" t="s">
        <v>34</v>
      </c>
      <c r="B15" s="45" t="s">
        <v>222</v>
      </c>
      <c r="C15" s="45" t="s">
        <v>146</v>
      </c>
      <c r="D15" s="45" t="s">
        <v>15</v>
      </c>
      <c r="E15" s="45">
        <v>26</v>
      </c>
      <c r="F15" s="45">
        <v>60</v>
      </c>
      <c r="G15" s="45">
        <v>80</v>
      </c>
      <c r="H15" s="1"/>
      <c r="I15" s="1"/>
      <c r="J15" s="1"/>
      <c r="K15" s="1"/>
    </row>
    <row r="16" spans="1:13" ht="21" x14ac:dyDescent="0.5">
      <c r="A16" s="45" t="s">
        <v>36</v>
      </c>
      <c r="B16" s="45" t="s">
        <v>223</v>
      </c>
      <c r="C16" s="45" t="s">
        <v>146</v>
      </c>
      <c r="D16" s="45" t="s">
        <v>15</v>
      </c>
      <c r="E16" s="45">
        <v>27</v>
      </c>
      <c r="F16" s="45">
        <v>41</v>
      </c>
      <c r="G16" s="45">
        <v>88</v>
      </c>
      <c r="H16" s="1"/>
      <c r="I16" s="1"/>
      <c r="J16" s="1"/>
      <c r="K16" s="1"/>
    </row>
    <row r="17" spans="1:11" ht="21" x14ac:dyDescent="0.5">
      <c r="A17" s="45" t="s">
        <v>38</v>
      </c>
      <c r="B17" s="45" t="s">
        <v>224</v>
      </c>
      <c r="C17" s="45" t="s">
        <v>145</v>
      </c>
      <c r="D17" s="45" t="s">
        <v>15</v>
      </c>
      <c r="E17" s="45">
        <v>22</v>
      </c>
      <c r="F17" s="45">
        <v>35</v>
      </c>
      <c r="G17" s="45">
        <v>90</v>
      </c>
      <c r="H17" s="1"/>
      <c r="I17" s="1"/>
      <c r="J17" s="1"/>
      <c r="K17" s="1"/>
    </row>
    <row r="18" spans="1:11" ht="21" x14ac:dyDescent="0.5">
      <c r="A18" s="45" t="s">
        <v>40</v>
      </c>
      <c r="B18" s="45" t="s">
        <v>225</v>
      </c>
      <c r="C18" s="45" t="s">
        <v>145</v>
      </c>
      <c r="D18" s="45" t="s">
        <v>10</v>
      </c>
      <c r="E18" s="45">
        <v>24</v>
      </c>
      <c r="F18" s="45">
        <v>55</v>
      </c>
      <c r="G18" s="45">
        <v>96</v>
      </c>
      <c r="H18" s="1"/>
      <c r="I18" s="1"/>
      <c r="J18" s="1"/>
      <c r="K18" s="1"/>
    </row>
    <row r="19" spans="1:11" ht="21" x14ac:dyDescent="0.5">
      <c r="A19" s="45" t="s">
        <v>42</v>
      </c>
      <c r="B19" s="45" t="s">
        <v>226</v>
      </c>
      <c r="C19" s="45" t="s">
        <v>145</v>
      </c>
      <c r="D19" s="45" t="s">
        <v>7</v>
      </c>
      <c r="E19" s="45">
        <v>23</v>
      </c>
      <c r="F19" s="45">
        <v>74</v>
      </c>
      <c r="G19" s="45">
        <v>71</v>
      </c>
      <c r="H19" s="1"/>
      <c r="I19" s="1"/>
      <c r="J19" s="1"/>
      <c r="K19" s="1"/>
    </row>
    <row r="20" spans="1:11" ht="21" x14ac:dyDescent="0.5">
      <c r="A20" s="45" t="s">
        <v>44</v>
      </c>
      <c r="B20" s="45" t="s">
        <v>227</v>
      </c>
      <c r="C20" s="45" t="s">
        <v>146</v>
      </c>
      <c r="D20" s="45" t="s">
        <v>10</v>
      </c>
      <c r="E20" s="45">
        <v>21</v>
      </c>
      <c r="F20" s="45">
        <v>66</v>
      </c>
      <c r="G20" s="45">
        <v>62</v>
      </c>
      <c r="H20" s="1"/>
      <c r="I20" s="1"/>
      <c r="J20" s="1"/>
      <c r="K20" s="1"/>
    </row>
    <row r="21" spans="1:11" ht="21" x14ac:dyDescent="0.5">
      <c r="A21" s="45" t="s">
        <v>46</v>
      </c>
      <c r="B21" s="45" t="s">
        <v>228</v>
      </c>
      <c r="C21" s="45" t="s">
        <v>145</v>
      </c>
      <c r="D21" s="45" t="s">
        <v>15</v>
      </c>
      <c r="E21" s="45">
        <v>25</v>
      </c>
      <c r="F21" s="45">
        <v>53</v>
      </c>
      <c r="G21" s="45">
        <v>100</v>
      </c>
      <c r="H21" s="1"/>
      <c r="I21" s="1"/>
      <c r="J21" s="1"/>
      <c r="K21" s="1"/>
    </row>
    <row r="22" spans="1:11" ht="21" x14ac:dyDescent="0.5">
      <c r="A22" s="45" t="s">
        <v>40</v>
      </c>
      <c r="B22" s="45" t="s">
        <v>225</v>
      </c>
      <c r="C22" s="45" t="s">
        <v>145</v>
      </c>
      <c r="D22" s="45" t="s">
        <v>10</v>
      </c>
      <c r="E22" s="45">
        <v>24</v>
      </c>
      <c r="F22" s="45">
        <v>55</v>
      </c>
      <c r="G22" s="45">
        <v>96</v>
      </c>
      <c r="H22" s="1"/>
      <c r="I22" s="1"/>
      <c r="J22" s="1"/>
      <c r="K22" s="1"/>
    </row>
    <row r="23" spans="1:11" ht="21" x14ac:dyDescent="0.5">
      <c r="A23" s="45" t="s">
        <v>48</v>
      </c>
      <c r="B23" s="45" t="s">
        <v>229</v>
      </c>
      <c r="C23" s="45" t="s">
        <v>145</v>
      </c>
      <c r="D23" s="45" t="s">
        <v>10</v>
      </c>
      <c r="E23" s="45">
        <v>26</v>
      </c>
      <c r="F23" s="45">
        <v>80</v>
      </c>
      <c r="G23" s="45">
        <v>67</v>
      </c>
      <c r="H23" s="1"/>
      <c r="I23" s="1"/>
      <c r="J23" s="1"/>
      <c r="K23" s="1"/>
    </row>
    <row r="24" spans="1:11" ht="21" x14ac:dyDescent="0.5">
      <c r="A24" s="45" t="s">
        <v>50</v>
      </c>
      <c r="B24" s="45" t="s">
        <v>230</v>
      </c>
      <c r="C24" s="45" t="s">
        <v>145</v>
      </c>
      <c r="D24" s="45" t="s">
        <v>7</v>
      </c>
      <c r="E24" s="45">
        <v>23</v>
      </c>
      <c r="F24" s="45">
        <v>62</v>
      </c>
      <c r="G24" s="45">
        <v>83</v>
      </c>
      <c r="H24" s="1"/>
      <c r="I24" s="1"/>
      <c r="J24" s="1"/>
      <c r="K24" s="1"/>
    </row>
    <row r="25" spans="1:11" ht="21" x14ac:dyDescent="0.5">
      <c r="A25" s="45" t="s">
        <v>52</v>
      </c>
      <c r="B25" s="45" t="s">
        <v>231</v>
      </c>
      <c r="C25" s="45" t="s">
        <v>146</v>
      </c>
      <c r="D25" s="45" t="s">
        <v>7</v>
      </c>
      <c r="E25" s="45">
        <v>24</v>
      </c>
      <c r="F25" s="45">
        <v>98</v>
      </c>
      <c r="G25" s="45">
        <v>92</v>
      </c>
      <c r="H25" s="1"/>
      <c r="I25" s="1"/>
      <c r="J25" s="1"/>
      <c r="K25" s="1"/>
    </row>
    <row r="26" spans="1:11" ht="21" x14ac:dyDescent="0.5">
      <c r="A26" s="45" t="s">
        <v>54</v>
      </c>
      <c r="B26" s="45" t="s">
        <v>232</v>
      </c>
      <c r="C26" s="45" t="s">
        <v>146</v>
      </c>
      <c r="D26" s="45" t="s">
        <v>7</v>
      </c>
      <c r="E26" s="45">
        <v>28</v>
      </c>
      <c r="F26" s="45">
        <v>41</v>
      </c>
      <c r="G26" s="45">
        <v>62</v>
      </c>
      <c r="H26" s="1"/>
      <c r="I26" s="1"/>
      <c r="J26" s="1"/>
      <c r="K26" s="1"/>
    </row>
    <row r="27" spans="1:11" ht="21" x14ac:dyDescent="0.5">
      <c r="A27" s="45" t="s">
        <v>56</v>
      </c>
      <c r="B27" s="45" t="s">
        <v>233</v>
      </c>
      <c r="C27" s="45" t="s">
        <v>146</v>
      </c>
      <c r="D27" s="45" t="s">
        <v>10</v>
      </c>
      <c r="E27" s="45">
        <v>25</v>
      </c>
      <c r="F27" s="45">
        <v>37</v>
      </c>
      <c r="G27" s="45">
        <v>73</v>
      </c>
      <c r="H27" s="1"/>
      <c r="I27" s="1"/>
      <c r="J27" s="1"/>
      <c r="K27" s="1"/>
    </row>
    <row r="28" spans="1:11" ht="21" x14ac:dyDescent="0.5">
      <c r="A28" s="45" t="s">
        <v>58</v>
      </c>
      <c r="B28" s="45" t="s">
        <v>234</v>
      </c>
      <c r="C28" s="45" t="s">
        <v>145</v>
      </c>
      <c r="D28" s="45" t="s">
        <v>15</v>
      </c>
      <c r="E28" s="45">
        <v>27</v>
      </c>
      <c r="F28" s="45">
        <v>76</v>
      </c>
      <c r="G28" s="45">
        <v>80</v>
      </c>
      <c r="H28" s="1"/>
      <c r="I28" s="1"/>
      <c r="J28" s="1"/>
      <c r="K28" s="1"/>
    </row>
    <row r="29" spans="1:11" ht="21" x14ac:dyDescent="0.5">
      <c r="A29" s="45" t="s">
        <v>40</v>
      </c>
      <c r="B29" s="45" t="s">
        <v>225</v>
      </c>
      <c r="C29" s="45" t="s">
        <v>145</v>
      </c>
      <c r="D29" s="45" t="s">
        <v>10</v>
      </c>
      <c r="E29" s="45">
        <v>24</v>
      </c>
      <c r="F29" s="45">
        <v>55</v>
      </c>
      <c r="G29" s="45">
        <v>96</v>
      </c>
      <c r="H29" s="1"/>
      <c r="I29" s="1"/>
      <c r="J29" s="1"/>
      <c r="K29" s="1"/>
    </row>
    <row r="30" spans="1:11" ht="21" x14ac:dyDescent="0.5">
      <c r="A30" s="45" t="s">
        <v>60</v>
      </c>
      <c r="B30" s="45" t="s">
        <v>235</v>
      </c>
      <c r="C30" s="45" t="s">
        <v>146</v>
      </c>
      <c r="D30" s="45" t="s">
        <v>15</v>
      </c>
      <c r="E30" s="45">
        <v>26</v>
      </c>
      <c r="F30" s="45">
        <v>99</v>
      </c>
      <c r="G30" s="45">
        <v>84</v>
      </c>
      <c r="H30" s="1"/>
      <c r="I30" s="1"/>
      <c r="J30" s="1"/>
      <c r="K30" s="1"/>
    </row>
    <row r="31" spans="1:11" ht="21" x14ac:dyDescent="0.5">
      <c r="A31" s="45" t="s">
        <v>62</v>
      </c>
      <c r="B31" s="45" t="s">
        <v>236</v>
      </c>
      <c r="C31" s="45" t="s">
        <v>145</v>
      </c>
      <c r="D31" s="45" t="s">
        <v>15</v>
      </c>
      <c r="E31" s="45">
        <v>23</v>
      </c>
      <c r="F31" s="77">
        <v>68.307692307692307</v>
      </c>
      <c r="G31" s="45">
        <v>65</v>
      </c>
      <c r="H31" s="1"/>
      <c r="I31" s="1"/>
      <c r="J31" s="1"/>
      <c r="K31" s="1"/>
    </row>
    <row r="32" spans="1:11" ht="21" x14ac:dyDescent="0.5">
      <c r="A32" s="45" t="s">
        <v>64</v>
      </c>
      <c r="B32" s="45" t="s">
        <v>237</v>
      </c>
      <c r="C32" s="45" t="s">
        <v>145</v>
      </c>
      <c r="D32" s="45" t="s">
        <v>7</v>
      </c>
      <c r="E32" s="45">
        <v>28</v>
      </c>
      <c r="F32" s="45">
        <v>54</v>
      </c>
      <c r="G32" s="45">
        <v>99</v>
      </c>
      <c r="H32" s="1"/>
      <c r="I32" s="1"/>
      <c r="J32" s="1"/>
      <c r="K32" s="1"/>
    </row>
    <row r="33" spans="1:11" ht="21" x14ac:dyDescent="0.5">
      <c r="A33" s="45" t="s">
        <v>66</v>
      </c>
      <c r="B33" s="45" t="s">
        <v>234</v>
      </c>
      <c r="C33" s="45" t="s">
        <v>145</v>
      </c>
      <c r="D33" s="45" t="s">
        <v>15</v>
      </c>
      <c r="E33" s="45">
        <v>27</v>
      </c>
      <c r="F33" s="45">
        <v>76</v>
      </c>
      <c r="G33" s="45">
        <v>80</v>
      </c>
      <c r="H33" s="1"/>
      <c r="I33" s="1"/>
      <c r="J33" s="1"/>
      <c r="K33" s="1"/>
    </row>
    <row r="34" spans="1:11" ht="21" x14ac:dyDescent="0.5">
      <c r="A34" s="45" t="s">
        <v>67</v>
      </c>
      <c r="B34" s="45" t="s">
        <v>238</v>
      </c>
      <c r="C34" s="45" t="s">
        <v>146</v>
      </c>
      <c r="D34" s="45" t="s">
        <v>10</v>
      </c>
      <c r="E34" s="45">
        <v>22</v>
      </c>
      <c r="F34" s="45">
        <v>90</v>
      </c>
      <c r="G34" s="45">
        <v>66</v>
      </c>
      <c r="H34" s="1"/>
      <c r="I34" s="1"/>
      <c r="J34" s="1"/>
      <c r="K34" s="1"/>
    </row>
    <row r="35" spans="1:11" ht="21" x14ac:dyDescent="0.5">
      <c r="A35" s="45" t="s">
        <v>69</v>
      </c>
      <c r="B35" s="45" t="s">
        <v>239</v>
      </c>
      <c r="C35" s="45" t="s">
        <v>146</v>
      </c>
      <c r="D35" s="45" t="s">
        <v>7</v>
      </c>
      <c r="E35" s="45">
        <v>29</v>
      </c>
      <c r="F35" s="45">
        <v>80</v>
      </c>
      <c r="G35" s="45">
        <v>91</v>
      </c>
      <c r="H35" s="1"/>
      <c r="I35" s="1"/>
      <c r="J35" s="1"/>
      <c r="K35" s="1"/>
    </row>
    <row r="36" spans="1:11" ht="21" x14ac:dyDescent="0.5">
      <c r="A36" s="45" t="s">
        <v>71</v>
      </c>
      <c r="B36" s="45" t="s">
        <v>240</v>
      </c>
      <c r="C36" s="45" t="s">
        <v>146</v>
      </c>
      <c r="D36" s="45" t="s">
        <v>10</v>
      </c>
      <c r="E36" s="45">
        <v>23</v>
      </c>
      <c r="F36" s="45">
        <v>57</v>
      </c>
      <c r="G36" s="45">
        <v>72</v>
      </c>
      <c r="H36" s="1"/>
      <c r="I36" s="1"/>
      <c r="J36" s="1"/>
      <c r="K36" s="1"/>
    </row>
    <row r="37" spans="1:11" ht="21" x14ac:dyDescent="0.5">
      <c r="A37" s="45" t="s">
        <v>73</v>
      </c>
      <c r="B37" s="45" t="s">
        <v>241</v>
      </c>
      <c r="C37" s="45" t="s">
        <v>145</v>
      </c>
      <c r="D37" s="45" t="s">
        <v>10</v>
      </c>
      <c r="E37" s="45">
        <v>25</v>
      </c>
      <c r="F37" s="45">
        <v>92</v>
      </c>
      <c r="G37" s="45">
        <v>87</v>
      </c>
      <c r="H37" s="1"/>
      <c r="I37" s="1"/>
      <c r="J37" s="1"/>
      <c r="K37" s="1"/>
    </row>
    <row r="38" spans="1:11" ht="21" x14ac:dyDescent="0.5">
      <c r="A38" s="45" t="s">
        <v>75</v>
      </c>
      <c r="B38" s="45" t="s">
        <v>242</v>
      </c>
      <c r="C38" s="45" t="s">
        <v>145</v>
      </c>
      <c r="D38" s="45" t="s">
        <v>7</v>
      </c>
      <c r="E38" s="45">
        <v>22</v>
      </c>
      <c r="F38" s="45">
        <v>52</v>
      </c>
      <c r="G38" s="45">
        <v>84</v>
      </c>
      <c r="H38" s="1"/>
      <c r="I38" s="1"/>
      <c r="J38" s="1"/>
      <c r="K38" s="1"/>
    </row>
    <row r="39" spans="1:11" ht="21" x14ac:dyDescent="0.5">
      <c r="A39" s="45" t="s">
        <v>77</v>
      </c>
      <c r="B39" s="45" t="s">
        <v>236</v>
      </c>
      <c r="C39" s="45" t="s">
        <v>145</v>
      </c>
      <c r="D39" s="45" t="s">
        <v>15</v>
      </c>
      <c r="E39" s="45">
        <v>23</v>
      </c>
      <c r="F39" s="45">
        <v>53</v>
      </c>
      <c r="G39" s="45">
        <v>65</v>
      </c>
      <c r="H39" s="1"/>
      <c r="I39" s="1"/>
      <c r="J39" s="1"/>
      <c r="K39" s="1"/>
    </row>
    <row r="40" spans="1:11" ht="21" x14ac:dyDescent="0.5">
      <c r="A40" s="45" t="s">
        <v>78</v>
      </c>
      <c r="B40" s="45" t="s">
        <v>243</v>
      </c>
      <c r="C40" s="45" t="s">
        <v>145</v>
      </c>
      <c r="D40" s="45" t="s">
        <v>15</v>
      </c>
      <c r="E40" s="45">
        <v>24</v>
      </c>
      <c r="F40" s="45">
        <v>97</v>
      </c>
      <c r="G40" s="45">
        <v>88</v>
      </c>
      <c r="H40" s="1"/>
      <c r="I40" s="1"/>
      <c r="J40" s="1"/>
      <c r="K40" s="1"/>
    </row>
  </sheetData>
  <conditionalFormatting sqref="G2:G40">
    <cfRule type="cellIs" dxfId="3" priority="3" operator="greaterThan">
      <formula>90</formula>
    </cfRule>
    <cfRule type="cellIs" dxfId="2" priority="2" operator="lessThan">
      <formula>76</formula>
    </cfRule>
  </conditionalFormatting>
  <conditionalFormatting sqref="F2:F40">
    <cfRule type="dataBar" priority="1">
      <dataBar>
        <cfvo type="min"/>
        <cfvo type="max"/>
        <color rgb="FF008AEF"/>
      </dataBar>
      <extLst>
        <ext xmlns:x14="http://schemas.microsoft.com/office/spreadsheetml/2009/9/main" uri="{B025F937-C7B1-47D3-B67F-A62EFF666E3E}">
          <x14:id>{3F70DAF6-6713-4BDB-9E13-11FA3BAB1035}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F70DAF6-6713-4BDB-9E13-11FA3BAB1035}">
            <x14:dataBar minLength="0" maxLength="100" gradient="0">
              <x14:cfvo type="autoMin"/>
              <x14:cfvo type="autoMax"/>
              <x14:negativeFillColor rgb="FFFF0000"/>
              <x14:axisColor rgb="FF000000"/>
            </x14:dataBar>
          </x14:cfRule>
          <xm:sqref>F2:F40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466D5-1EEF-4994-B423-64CDF6EAE995}">
  <dimension ref="A3:D98"/>
  <sheetViews>
    <sheetView workbookViewId="0">
      <selection activeCell="C30" sqref="C30"/>
    </sheetView>
  </sheetViews>
  <sheetFormatPr defaultRowHeight="14.5" x14ac:dyDescent="0.35"/>
  <cols>
    <col min="1" max="1" width="12.54296875" bestFit="1" customWidth="1"/>
    <col min="2" max="2" width="14.54296875" bestFit="1" customWidth="1"/>
    <col min="3" max="3" width="12" bestFit="1" customWidth="1"/>
    <col min="4" max="4" width="11" bestFit="1" customWidth="1"/>
  </cols>
  <sheetData>
    <row r="3" spans="1:2" x14ac:dyDescent="0.35">
      <c r="A3" s="38" t="s">
        <v>187</v>
      </c>
      <c r="B3" t="s">
        <v>195</v>
      </c>
    </row>
    <row r="4" spans="1:2" x14ac:dyDescent="0.35">
      <c r="A4" s="39" t="s">
        <v>7</v>
      </c>
      <c r="B4" s="41">
        <v>65.416666666666671</v>
      </c>
    </row>
    <row r="5" spans="1:2" x14ac:dyDescent="0.35">
      <c r="A5" s="39" t="s">
        <v>15</v>
      </c>
      <c r="B5" s="41">
        <v>65.599999999999994</v>
      </c>
    </row>
    <row r="6" spans="1:2" x14ac:dyDescent="0.35">
      <c r="A6" s="39" t="s">
        <v>10</v>
      </c>
      <c r="B6" s="41">
        <v>63.5</v>
      </c>
    </row>
    <row r="7" spans="1:2" x14ac:dyDescent="0.35">
      <c r="A7" s="39" t="s">
        <v>188</v>
      </c>
      <c r="B7">
        <v>64.897435897435898</v>
      </c>
    </row>
    <row r="10" spans="1:2" x14ac:dyDescent="0.35">
      <c r="A10" s="38" t="s">
        <v>187</v>
      </c>
      <c r="B10" t="s">
        <v>194</v>
      </c>
    </row>
    <row r="11" spans="1:2" x14ac:dyDescent="0.35">
      <c r="A11" s="39" t="s">
        <v>180</v>
      </c>
      <c r="B11">
        <v>7</v>
      </c>
    </row>
    <row r="12" spans="1:2" x14ac:dyDescent="0.35">
      <c r="A12" s="39" t="s">
        <v>181</v>
      </c>
      <c r="B12">
        <v>6</v>
      </c>
    </row>
    <row r="13" spans="1:2" x14ac:dyDescent="0.35">
      <c r="A13" s="39" t="s">
        <v>184</v>
      </c>
      <c r="B13">
        <v>4</v>
      </c>
    </row>
    <row r="14" spans="1:2" x14ac:dyDescent="0.35">
      <c r="A14" s="39" t="s">
        <v>183</v>
      </c>
      <c r="B14">
        <v>6</v>
      </c>
    </row>
    <row r="15" spans="1:2" x14ac:dyDescent="0.35">
      <c r="A15" s="39" t="s">
        <v>185</v>
      </c>
      <c r="B15">
        <v>6</v>
      </c>
    </row>
    <row r="16" spans="1:2" x14ac:dyDescent="0.35">
      <c r="A16" s="39" t="s">
        <v>182</v>
      </c>
      <c r="B16">
        <v>5</v>
      </c>
    </row>
    <row r="17" spans="1:4" x14ac:dyDescent="0.35">
      <c r="A17" s="39" t="s">
        <v>186</v>
      </c>
      <c r="B17">
        <v>5</v>
      </c>
    </row>
    <row r="18" spans="1:4" x14ac:dyDescent="0.35">
      <c r="A18" s="39" t="s">
        <v>188</v>
      </c>
      <c r="B18">
        <v>39</v>
      </c>
    </row>
    <row r="21" spans="1:4" x14ac:dyDescent="0.35">
      <c r="A21" s="38" t="s">
        <v>187</v>
      </c>
      <c r="B21" t="s">
        <v>194</v>
      </c>
    </row>
    <row r="22" spans="1:4" x14ac:dyDescent="0.35">
      <c r="A22" s="39" t="s">
        <v>190</v>
      </c>
      <c r="B22">
        <v>7</v>
      </c>
    </row>
    <row r="23" spans="1:4" x14ac:dyDescent="0.35">
      <c r="A23" s="39" t="s">
        <v>191</v>
      </c>
      <c r="B23">
        <v>12</v>
      </c>
    </row>
    <row r="24" spans="1:4" x14ac:dyDescent="0.35">
      <c r="A24" s="39" t="s">
        <v>192</v>
      </c>
      <c r="B24">
        <v>16</v>
      </c>
    </row>
    <row r="25" spans="1:4" x14ac:dyDescent="0.35">
      <c r="A25" s="39" t="s">
        <v>193</v>
      </c>
      <c r="B25">
        <v>4</v>
      </c>
    </row>
    <row r="26" spans="1:4" x14ac:dyDescent="0.35">
      <c r="A26" s="39" t="s">
        <v>188</v>
      </c>
      <c r="B26">
        <v>39</v>
      </c>
    </row>
    <row r="29" spans="1:4" x14ac:dyDescent="0.35">
      <c r="A29" s="38" t="s">
        <v>195</v>
      </c>
      <c r="B29" s="38" t="s">
        <v>189</v>
      </c>
    </row>
    <row r="30" spans="1:4" x14ac:dyDescent="0.35">
      <c r="A30" s="38" t="s">
        <v>187</v>
      </c>
      <c r="B30" t="s">
        <v>146</v>
      </c>
      <c r="C30" t="s">
        <v>145</v>
      </c>
      <c r="D30" t="s">
        <v>188</v>
      </c>
    </row>
    <row r="31" spans="1:4" x14ac:dyDescent="0.35">
      <c r="A31" s="39" t="s">
        <v>7</v>
      </c>
      <c r="B31" s="40">
        <v>63.6</v>
      </c>
      <c r="C31" s="40">
        <v>66.714285714285708</v>
      </c>
      <c r="D31" s="40">
        <v>65.416666666666671</v>
      </c>
    </row>
    <row r="32" spans="1:4" x14ac:dyDescent="0.35">
      <c r="A32" s="39" t="s">
        <v>15</v>
      </c>
      <c r="B32" s="40">
        <v>67.5</v>
      </c>
      <c r="C32" s="40">
        <v>64.909090909090907</v>
      </c>
      <c r="D32" s="40">
        <v>65.599999999999994</v>
      </c>
    </row>
    <row r="33" spans="1:4" x14ac:dyDescent="0.35">
      <c r="A33" s="39" t="s">
        <v>10</v>
      </c>
      <c r="B33" s="40">
        <v>55.166666666666664</v>
      </c>
      <c r="C33" s="40">
        <v>71.833333333333329</v>
      </c>
      <c r="D33" s="40">
        <v>63.5</v>
      </c>
    </row>
    <row r="34" spans="1:4" x14ac:dyDescent="0.35">
      <c r="A34" s="39" t="s">
        <v>188</v>
      </c>
      <c r="B34">
        <v>61.266666666666666</v>
      </c>
      <c r="C34">
        <v>67.166666666666671</v>
      </c>
      <c r="D34">
        <v>64.897435897435898</v>
      </c>
    </row>
    <row r="39" spans="1:4" x14ac:dyDescent="0.35">
      <c r="A39" s="38" t="s">
        <v>187</v>
      </c>
      <c r="B39" t="s">
        <v>196</v>
      </c>
      <c r="D39" s="38"/>
    </row>
    <row r="40" spans="1:4" x14ac:dyDescent="0.35">
      <c r="A40" s="39" t="s">
        <v>7</v>
      </c>
      <c r="B40">
        <v>98</v>
      </c>
    </row>
    <row r="41" spans="1:4" x14ac:dyDescent="0.35">
      <c r="A41" s="39" t="s">
        <v>15</v>
      </c>
      <c r="B41">
        <v>98</v>
      </c>
    </row>
    <row r="42" spans="1:4" x14ac:dyDescent="0.35">
      <c r="A42" s="39" t="s">
        <v>10</v>
      </c>
      <c r="B42">
        <v>94</v>
      </c>
    </row>
    <row r="43" spans="1:4" x14ac:dyDescent="0.35">
      <c r="A43" s="39" t="s">
        <v>188</v>
      </c>
      <c r="B43">
        <v>98</v>
      </c>
    </row>
    <row r="46" spans="1:4" x14ac:dyDescent="0.35">
      <c r="A46" s="38" t="s">
        <v>187</v>
      </c>
      <c r="B46" t="s">
        <v>194</v>
      </c>
      <c r="C46" s="38"/>
      <c r="D46" s="38"/>
    </row>
    <row r="47" spans="1:4" x14ac:dyDescent="0.35">
      <c r="A47" s="39" t="s">
        <v>190</v>
      </c>
      <c r="B47">
        <v>7</v>
      </c>
    </row>
    <row r="48" spans="1:4" x14ac:dyDescent="0.35">
      <c r="A48" s="39" t="s">
        <v>191</v>
      </c>
      <c r="B48">
        <v>12</v>
      </c>
    </row>
    <row r="49" spans="1:2" x14ac:dyDescent="0.35">
      <c r="A49" s="39" t="s">
        <v>192</v>
      </c>
      <c r="B49">
        <v>16</v>
      </c>
    </row>
    <row r="50" spans="1:2" x14ac:dyDescent="0.35">
      <c r="A50" s="39" t="s">
        <v>193</v>
      </c>
      <c r="B50">
        <v>4</v>
      </c>
    </row>
    <row r="51" spans="1:2" x14ac:dyDescent="0.35">
      <c r="A51" s="39" t="s">
        <v>188</v>
      </c>
      <c r="B51">
        <v>39</v>
      </c>
    </row>
    <row r="55" spans="1:2" x14ac:dyDescent="0.35">
      <c r="A55" s="38" t="s">
        <v>187</v>
      </c>
      <c r="B55" t="s">
        <v>197</v>
      </c>
    </row>
    <row r="56" spans="1:2" x14ac:dyDescent="0.35">
      <c r="A56" s="39">
        <v>61</v>
      </c>
      <c r="B56" t="e">
        <v>#VALUE!</v>
      </c>
    </row>
    <row r="57" spans="1:2" x14ac:dyDescent="0.35">
      <c r="A57" s="39">
        <v>62</v>
      </c>
      <c r="B57" t="e">
        <v>#VALUE!</v>
      </c>
    </row>
    <row r="58" spans="1:2" x14ac:dyDescent="0.35">
      <c r="A58" s="39">
        <v>65</v>
      </c>
      <c r="B58" t="e">
        <v>#VALUE!</v>
      </c>
    </row>
    <row r="59" spans="1:2" x14ac:dyDescent="0.35">
      <c r="A59" s="39">
        <v>66</v>
      </c>
      <c r="B59" t="e">
        <v>#VALUE!</v>
      </c>
    </row>
    <row r="60" spans="1:2" x14ac:dyDescent="0.35">
      <c r="A60" s="39">
        <v>67</v>
      </c>
      <c r="B60" t="e">
        <v>#VALUE!</v>
      </c>
    </row>
    <row r="61" spans="1:2" x14ac:dyDescent="0.35">
      <c r="A61" s="39">
        <v>71</v>
      </c>
      <c r="B61" t="e">
        <v>#VALUE!</v>
      </c>
    </row>
    <row r="62" spans="1:2" x14ac:dyDescent="0.35">
      <c r="A62" s="39">
        <v>72</v>
      </c>
      <c r="B62" t="e">
        <v>#VALUE!</v>
      </c>
    </row>
    <row r="63" spans="1:2" x14ac:dyDescent="0.35">
      <c r="A63" s="39">
        <v>73</v>
      </c>
      <c r="B63" t="e">
        <v>#VALUE!</v>
      </c>
    </row>
    <row r="64" spans="1:2" x14ac:dyDescent="0.35">
      <c r="A64" s="39">
        <v>80</v>
      </c>
      <c r="B64" t="e">
        <v>#VALUE!</v>
      </c>
    </row>
    <row r="65" spans="1:2" x14ac:dyDescent="0.35">
      <c r="A65" s="39">
        <v>82</v>
      </c>
      <c r="B65" t="e">
        <v>#VALUE!</v>
      </c>
    </row>
    <row r="66" spans="1:2" x14ac:dyDescent="0.35">
      <c r="A66" s="39">
        <v>83</v>
      </c>
      <c r="B66" t="e">
        <v>#VALUE!</v>
      </c>
    </row>
    <row r="67" spans="1:2" x14ac:dyDescent="0.35">
      <c r="A67" s="39">
        <v>84</v>
      </c>
      <c r="B67" t="e">
        <v>#VALUE!</v>
      </c>
    </row>
    <row r="68" spans="1:2" x14ac:dyDescent="0.35">
      <c r="A68" s="39">
        <v>86</v>
      </c>
      <c r="B68" t="e">
        <v>#VALUE!</v>
      </c>
    </row>
    <row r="69" spans="1:2" x14ac:dyDescent="0.35">
      <c r="A69" s="39">
        <v>87</v>
      </c>
      <c r="B69" t="e">
        <v>#VALUE!</v>
      </c>
    </row>
    <row r="70" spans="1:2" x14ac:dyDescent="0.35">
      <c r="A70" s="39">
        <v>88</v>
      </c>
      <c r="B70" t="e">
        <v>#VALUE!</v>
      </c>
    </row>
    <row r="71" spans="1:2" x14ac:dyDescent="0.35">
      <c r="A71" s="39">
        <v>90</v>
      </c>
      <c r="B71" t="e">
        <v>#VALUE!</v>
      </c>
    </row>
    <row r="72" spans="1:2" x14ac:dyDescent="0.35">
      <c r="A72" s="39">
        <v>91</v>
      </c>
      <c r="B72" t="e">
        <v>#VALUE!</v>
      </c>
    </row>
    <row r="73" spans="1:2" x14ac:dyDescent="0.35">
      <c r="A73" s="39">
        <v>92</v>
      </c>
      <c r="B73" t="e">
        <v>#VALUE!</v>
      </c>
    </row>
    <row r="74" spans="1:2" x14ac:dyDescent="0.35">
      <c r="A74" s="39">
        <v>93</v>
      </c>
      <c r="B74" t="e">
        <v>#VALUE!</v>
      </c>
    </row>
    <row r="75" spans="1:2" x14ac:dyDescent="0.35">
      <c r="A75" s="39">
        <v>95</v>
      </c>
      <c r="B75" t="e">
        <v>#VALUE!</v>
      </c>
    </row>
    <row r="76" spans="1:2" x14ac:dyDescent="0.35">
      <c r="A76" s="39">
        <v>96</v>
      </c>
      <c r="B76" t="e">
        <v>#VALUE!</v>
      </c>
    </row>
    <row r="77" spans="1:2" x14ac:dyDescent="0.35">
      <c r="A77" s="39">
        <v>99</v>
      </c>
      <c r="B77" t="e">
        <v>#VALUE!</v>
      </c>
    </row>
    <row r="78" spans="1:2" x14ac:dyDescent="0.35">
      <c r="A78" s="39">
        <v>100</v>
      </c>
      <c r="B78" t="e">
        <v>#VALUE!</v>
      </c>
    </row>
    <row r="79" spans="1:2" x14ac:dyDescent="0.35">
      <c r="A79" s="39" t="s">
        <v>188</v>
      </c>
      <c r="B79" t="e">
        <v>#VALUE!</v>
      </c>
    </row>
    <row r="82" spans="1:4" x14ac:dyDescent="0.35">
      <c r="A82" s="38" t="s">
        <v>187</v>
      </c>
      <c r="B82" t="s">
        <v>198</v>
      </c>
    </row>
    <row r="83" spans="1:4" x14ac:dyDescent="0.35">
      <c r="A83" s="39" t="s">
        <v>190</v>
      </c>
      <c r="B83" s="41">
        <v>79.571428571428569</v>
      </c>
    </row>
    <row r="84" spans="1:4" x14ac:dyDescent="0.35">
      <c r="A84" s="39" t="s">
        <v>191</v>
      </c>
      <c r="B84" s="41">
        <v>80.833333333333329</v>
      </c>
    </row>
    <row r="85" spans="1:4" x14ac:dyDescent="0.35">
      <c r="A85" s="39" t="s">
        <v>192</v>
      </c>
      <c r="B85" s="41">
        <v>82.875</v>
      </c>
    </row>
    <row r="86" spans="1:4" x14ac:dyDescent="0.35">
      <c r="A86" s="39" t="s">
        <v>193</v>
      </c>
      <c r="B86" s="41">
        <v>72.5</v>
      </c>
    </row>
    <row r="87" spans="1:4" x14ac:dyDescent="0.35">
      <c r="A87" s="39" t="s">
        <v>188</v>
      </c>
      <c r="B87">
        <v>80.589743589743591</v>
      </c>
    </row>
    <row r="89" spans="1:4" x14ac:dyDescent="0.35">
      <c r="A89" s="38" t="s">
        <v>194</v>
      </c>
      <c r="B89" s="38" t="s">
        <v>189</v>
      </c>
    </row>
    <row r="90" spans="1:4" x14ac:dyDescent="0.35">
      <c r="A90" s="38" t="s">
        <v>187</v>
      </c>
      <c r="B90" t="s">
        <v>146</v>
      </c>
      <c r="C90" t="s">
        <v>145</v>
      </c>
      <c r="D90" t="s">
        <v>188</v>
      </c>
    </row>
    <row r="91" spans="1:4" x14ac:dyDescent="0.35">
      <c r="A91" s="39" t="s">
        <v>180</v>
      </c>
      <c r="B91">
        <v>1</v>
      </c>
      <c r="C91">
        <v>6</v>
      </c>
      <c r="D91">
        <v>7</v>
      </c>
    </row>
    <row r="92" spans="1:4" x14ac:dyDescent="0.35">
      <c r="A92" s="39" t="s">
        <v>181</v>
      </c>
      <c r="B92">
        <v>1</v>
      </c>
      <c r="C92">
        <v>5</v>
      </c>
      <c r="D92">
        <v>6</v>
      </c>
    </row>
    <row r="93" spans="1:4" x14ac:dyDescent="0.35">
      <c r="A93" s="39" t="s">
        <v>184</v>
      </c>
      <c r="B93">
        <v>3</v>
      </c>
      <c r="C93">
        <v>1</v>
      </c>
      <c r="D93">
        <v>4</v>
      </c>
    </row>
    <row r="94" spans="1:4" x14ac:dyDescent="0.35">
      <c r="A94" s="39" t="s">
        <v>183</v>
      </c>
      <c r="B94">
        <v>4</v>
      </c>
      <c r="C94">
        <v>2</v>
      </c>
      <c r="D94">
        <v>6</v>
      </c>
    </row>
    <row r="95" spans="1:4" x14ac:dyDescent="0.35">
      <c r="A95" s="39" t="s">
        <v>185</v>
      </c>
      <c r="B95">
        <v>2</v>
      </c>
      <c r="C95">
        <v>4</v>
      </c>
      <c r="D95">
        <v>6</v>
      </c>
    </row>
    <row r="96" spans="1:4" x14ac:dyDescent="0.35">
      <c r="A96" s="39" t="s">
        <v>182</v>
      </c>
      <c r="B96">
        <v>3</v>
      </c>
      <c r="C96">
        <v>2</v>
      </c>
      <c r="D96">
        <v>5</v>
      </c>
    </row>
    <row r="97" spans="1:4" x14ac:dyDescent="0.35">
      <c r="A97" s="39" t="s">
        <v>186</v>
      </c>
      <c r="B97">
        <v>1</v>
      </c>
      <c r="C97">
        <v>4</v>
      </c>
      <c r="D97">
        <v>5</v>
      </c>
    </row>
    <row r="98" spans="1:4" x14ac:dyDescent="0.35">
      <c r="A98" s="39" t="s">
        <v>188</v>
      </c>
      <c r="B98">
        <v>15</v>
      </c>
      <c r="C98">
        <v>24</v>
      </c>
      <c r="D98">
        <v>39</v>
      </c>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AC7F1-E12D-4624-B94B-A455D8AA0ACA}">
  <dimension ref="A1:W2"/>
  <sheetViews>
    <sheetView workbookViewId="0">
      <selection activeCell="Q17" sqref="Q17"/>
    </sheetView>
  </sheetViews>
  <sheetFormatPr defaultRowHeight="14.5" x14ac:dyDescent="0.35"/>
  <cols>
    <col min="23" max="23" width="11.08984375" customWidth="1"/>
  </cols>
  <sheetData>
    <row r="1" spans="1:23" x14ac:dyDescent="0.35">
      <c r="A1" s="72" t="s">
        <v>199</v>
      </c>
      <c r="B1" s="72"/>
      <c r="C1" s="72"/>
      <c r="D1" s="72"/>
      <c r="E1" s="72"/>
      <c r="F1" s="72"/>
      <c r="G1" s="72"/>
      <c r="H1" s="72"/>
      <c r="I1" s="72"/>
      <c r="J1" s="72"/>
      <c r="K1" s="72"/>
      <c r="L1" s="72"/>
      <c r="M1" s="72"/>
      <c r="N1" s="72"/>
      <c r="O1" s="72"/>
      <c r="P1" s="72"/>
      <c r="Q1" s="72"/>
      <c r="R1" s="72"/>
      <c r="S1" s="72"/>
      <c r="T1" s="72"/>
      <c r="U1" s="72"/>
      <c r="V1" s="72"/>
      <c r="W1" s="72"/>
    </row>
    <row r="2" spans="1:23" x14ac:dyDescent="0.35">
      <c r="A2" s="72"/>
      <c r="B2" s="72"/>
      <c r="C2" s="72"/>
      <c r="D2" s="72"/>
      <c r="E2" s="72"/>
      <c r="F2" s="72"/>
      <c r="G2" s="72"/>
      <c r="H2" s="72"/>
      <c r="I2" s="72"/>
      <c r="J2" s="72"/>
      <c r="K2" s="72"/>
      <c r="L2" s="72"/>
      <c r="M2" s="72"/>
      <c r="N2" s="72"/>
      <c r="O2" s="72"/>
      <c r="P2" s="72"/>
      <c r="Q2" s="72"/>
      <c r="R2" s="72"/>
      <c r="S2" s="72"/>
      <c r="T2" s="72"/>
      <c r="U2" s="72"/>
      <c r="V2" s="72"/>
      <c r="W2" s="72"/>
    </row>
  </sheetData>
  <mergeCells count="1">
    <mergeCell ref="A1:W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330D1-3A30-4E06-9D53-0226C15D00BD}">
  <sheetPr>
    <outlinePr summaryBelow="0"/>
  </sheetPr>
  <dimension ref="B1:F17"/>
  <sheetViews>
    <sheetView showGridLines="0" workbookViewId="0">
      <selection activeCell="F6" sqref="F6:F12"/>
    </sheetView>
  </sheetViews>
  <sheetFormatPr defaultRowHeight="14.5" outlineLevelRow="1" outlineLevelCol="1" x14ac:dyDescent="0.35"/>
  <cols>
    <col min="3" max="3" width="13.54296875" bestFit="1" customWidth="1"/>
    <col min="4" max="6" width="13.08984375" bestFit="1" customWidth="1" outlineLevel="1"/>
  </cols>
  <sheetData>
    <row r="1" spans="2:6" ht="15" thickBot="1" x14ac:dyDescent="0.4"/>
    <row r="2" spans="2:6" ht="15.5" x14ac:dyDescent="0.35">
      <c r="B2" s="58" t="s">
        <v>248</v>
      </c>
      <c r="C2" s="58"/>
      <c r="D2" s="63"/>
      <c r="E2" s="63"/>
      <c r="F2" s="63"/>
    </row>
    <row r="3" spans="2:6" ht="15.5" collapsed="1" x14ac:dyDescent="0.35">
      <c r="B3" s="57"/>
      <c r="C3" s="57"/>
      <c r="D3" s="64" t="s">
        <v>250</v>
      </c>
      <c r="E3" s="64" t="s">
        <v>245</v>
      </c>
      <c r="F3" s="64" t="s">
        <v>247</v>
      </c>
    </row>
    <row r="4" spans="2:6" ht="21" hidden="1" outlineLevel="1" x14ac:dyDescent="0.35">
      <c r="B4" s="60"/>
      <c r="C4" s="60"/>
      <c r="E4" s="66" t="s">
        <v>246</v>
      </c>
      <c r="F4" s="66" t="s">
        <v>246</v>
      </c>
    </row>
    <row r="5" spans="2:6" x14ac:dyDescent="0.35">
      <c r="B5" s="61" t="s">
        <v>249</v>
      </c>
      <c r="C5" s="61"/>
      <c r="D5" s="59"/>
      <c r="E5" s="59"/>
      <c r="F5" s="59"/>
    </row>
    <row r="6" spans="2:6" outlineLevel="1" x14ac:dyDescent="0.35">
      <c r="B6" s="60"/>
      <c r="C6" s="60" t="s">
        <v>135</v>
      </c>
      <c r="D6">
        <v>4000</v>
      </c>
      <c r="E6" s="65">
        <v>4000</v>
      </c>
      <c r="F6" s="65">
        <v>4000</v>
      </c>
    </row>
    <row r="7" spans="2:6" outlineLevel="1" x14ac:dyDescent="0.35">
      <c r="B7" s="60"/>
      <c r="C7" s="60" t="s">
        <v>136</v>
      </c>
      <c r="D7">
        <v>5000</v>
      </c>
      <c r="E7" s="65">
        <v>2000</v>
      </c>
      <c r="F7" s="65">
        <v>5000</v>
      </c>
    </row>
    <row r="8" spans="2:6" outlineLevel="1" x14ac:dyDescent="0.35">
      <c r="B8" s="60"/>
      <c r="C8" s="60" t="s">
        <v>137</v>
      </c>
      <c r="D8">
        <v>2000</v>
      </c>
      <c r="E8" s="65">
        <v>1000</v>
      </c>
      <c r="F8" s="65">
        <v>2000</v>
      </c>
    </row>
    <row r="9" spans="2:6" outlineLevel="1" x14ac:dyDescent="0.35">
      <c r="B9" s="60"/>
      <c r="C9" s="60" t="s">
        <v>138</v>
      </c>
      <c r="D9">
        <v>2500</v>
      </c>
      <c r="E9" s="65">
        <v>2500</v>
      </c>
      <c r="F9" s="65">
        <v>2500</v>
      </c>
    </row>
    <row r="10" spans="2:6" outlineLevel="1" x14ac:dyDescent="0.35">
      <c r="B10" s="60"/>
      <c r="C10" s="60" t="s">
        <v>139</v>
      </c>
      <c r="D10">
        <v>6000</v>
      </c>
      <c r="E10" s="65">
        <v>5000</v>
      </c>
      <c r="F10" s="65">
        <v>6000</v>
      </c>
    </row>
    <row r="11" spans="2:6" outlineLevel="1" x14ac:dyDescent="0.35">
      <c r="B11" s="60"/>
      <c r="C11" s="60" t="s">
        <v>244</v>
      </c>
      <c r="D11">
        <v>1000</v>
      </c>
      <c r="E11" s="65">
        <v>500</v>
      </c>
      <c r="F11" s="65">
        <v>1000</v>
      </c>
    </row>
    <row r="12" spans="2:6" outlineLevel="1" x14ac:dyDescent="0.35">
      <c r="B12" s="60"/>
      <c r="C12" s="60" t="s">
        <v>142</v>
      </c>
      <c r="D12">
        <v>22000</v>
      </c>
      <c r="E12" s="65">
        <v>20000</v>
      </c>
      <c r="F12" s="65">
        <v>22000</v>
      </c>
    </row>
    <row r="13" spans="2:6" x14ac:dyDescent="0.35">
      <c r="B13" s="61" t="s">
        <v>251</v>
      </c>
      <c r="C13" s="61"/>
      <c r="D13" s="59"/>
      <c r="E13" s="59"/>
      <c r="F13" s="59"/>
    </row>
    <row r="14" spans="2:6" ht="15" outlineLevel="1" thickBot="1" x14ac:dyDescent="0.4">
      <c r="B14" s="62"/>
      <c r="C14" s="62" t="s">
        <v>143</v>
      </c>
      <c r="D14" s="56">
        <v>1500</v>
      </c>
      <c r="E14" s="56">
        <v>5000</v>
      </c>
      <c r="F14" s="56">
        <v>1500</v>
      </c>
    </row>
    <row r="15" spans="2:6" x14ac:dyDescent="0.35">
      <c r="B15" t="s">
        <v>252</v>
      </c>
    </row>
    <row r="16" spans="2:6" x14ac:dyDescent="0.35">
      <c r="B16" t="s">
        <v>253</v>
      </c>
    </row>
    <row r="17" spans="2:2" x14ac:dyDescent="0.35">
      <c r="B17" t="s">
        <v>254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C8F9E-A02B-4ECA-A2CA-86AECDB89BC9}">
  <dimension ref="A1:B13"/>
  <sheetViews>
    <sheetView zoomScaleNormal="100" workbookViewId="0">
      <selection activeCell="D7" sqref="D7"/>
    </sheetView>
  </sheetViews>
  <sheetFormatPr defaultRowHeight="14.5" x14ac:dyDescent="0.35"/>
  <cols>
    <col min="1" max="1" width="23.81640625" customWidth="1"/>
    <col min="2" max="2" width="24.453125" customWidth="1"/>
  </cols>
  <sheetData>
    <row r="1" spans="1:2" ht="23.5" x14ac:dyDescent="0.35">
      <c r="A1" s="73" t="s">
        <v>132</v>
      </c>
      <c r="B1" s="73"/>
    </row>
    <row r="2" spans="1:2" x14ac:dyDescent="0.35">
      <c r="A2" s="74"/>
      <c r="B2" s="74"/>
    </row>
    <row r="3" spans="1:2" ht="21" x14ac:dyDescent="0.35">
      <c r="A3" s="47" t="s">
        <v>133</v>
      </c>
      <c r="B3" s="47" t="s">
        <v>134</v>
      </c>
    </row>
    <row r="4" spans="1:2" ht="21" x14ac:dyDescent="0.35">
      <c r="A4" s="48" t="s">
        <v>135</v>
      </c>
      <c r="B4" s="49">
        <v>4000</v>
      </c>
    </row>
    <row r="5" spans="1:2" ht="21" x14ac:dyDescent="0.35">
      <c r="A5" s="48" t="s">
        <v>136</v>
      </c>
      <c r="B5" s="49">
        <v>5000</v>
      </c>
    </row>
    <row r="6" spans="1:2" ht="21" x14ac:dyDescent="0.35">
      <c r="A6" s="48" t="s">
        <v>137</v>
      </c>
      <c r="B6" s="49">
        <v>2000</v>
      </c>
    </row>
    <row r="7" spans="1:2" ht="21" x14ac:dyDescent="0.35">
      <c r="A7" s="48" t="s">
        <v>138</v>
      </c>
      <c r="B7" s="49">
        <v>2500</v>
      </c>
    </row>
    <row r="8" spans="1:2" ht="21" x14ac:dyDescent="0.35">
      <c r="A8" s="48" t="s">
        <v>139</v>
      </c>
      <c r="B8" s="49">
        <v>6000</v>
      </c>
    </row>
    <row r="9" spans="1:2" ht="21" x14ac:dyDescent="0.35">
      <c r="A9" s="48" t="s">
        <v>140</v>
      </c>
      <c r="B9" s="49">
        <v>1000</v>
      </c>
    </row>
    <row r="10" spans="1:2" ht="21" x14ac:dyDescent="0.35">
      <c r="A10" s="50" t="s">
        <v>141</v>
      </c>
      <c r="B10" s="51">
        <f>SUM(B4:B9)</f>
        <v>20500</v>
      </c>
    </row>
    <row r="11" spans="1:2" x14ac:dyDescent="0.35">
      <c r="A11" s="74"/>
      <c r="B11" s="74"/>
    </row>
    <row r="12" spans="1:2" ht="21" x14ac:dyDescent="0.35">
      <c r="A12" s="52" t="s">
        <v>142</v>
      </c>
      <c r="B12" s="53">
        <v>22000</v>
      </c>
    </row>
    <row r="13" spans="1:2" ht="21" x14ac:dyDescent="0.35">
      <c r="A13" s="54" t="s">
        <v>143</v>
      </c>
      <c r="B13" s="55">
        <f>B12 - B10</f>
        <v>1500</v>
      </c>
    </row>
  </sheetData>
  <scenarios current="0" sqref="B13">
    <scenario name="s1" locked="1" count="7" user="Kumaran M" comment="Created by Kumaran M on 03-10-2025">
      <inputCells r="B4" val="4000"/>
      <inputCells r="B5" val="2000"/>
      <inputCells r="B6" val="1000"/>
      <inputCells r="B7" val="2500"/>
      <inputCells r="B8" val="5000"/>
      <inputCells r="B9" val="500"/>
      <inputCells r="B12" val="20000"/>
    </scenario>
    <scenario name="s2" locked="1" count="7" user="Kumaran M" comment="Created by Kumaran M on 03-10-2025">
      <inputCells r="B4" val="4000"/>
      <inputCells r="B5" val="5000"/>
      <inputCells r="B6" val="2000"/>
      <inputCells r="B7" val="2500"/>
      <inputCells r="B8" val="6000"/>
      <inputCells r="B9" val="1000"/>
      <inputCells r="B12" val="22000"/>
    </scenario>
  </scenarios>
  <mergeCells count="3">
    <mergeCell ref="A1:B1"/>
    <mergeCell ref="A11:B11"/>
    <mergeCell ref="A2:B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74939-0DE0-40E6-B013-6E9CCB5F786F}">
  <dimension ref="A1:N40"/>
  <sheetViews>
    <sheetView workbookViewId="0">
      <selection activeCell="J13" sqref="J13:K13"/>
    </sheetView>
  </sheetViews>
  <sheetFormatPr defaultRowHeight="14.5" x14ac:dyDescent="0.35"/>
  <cols>
    <col min="1" max="1" width="17.36328125" bestFit="1" customWidth="1"/>
    <col min="2" max="2" width="17.08984375" bestFit="1" customWidth="1"/>
    <col min="3" max="3" width="16.54296875" bestFit="1" customWidth="1"/>
    <col min="4" max="4" width="14.453125" bestFit="1" customWidth="1"/>
    <col min="5" max="5" width="10.08984375" bestFit="1" customWidth="1"/>
    <col min="6" max="6" width="22.54296875" bestFit="1" customWidth="1"/>
    <col min="7" max="7" width="19" bestFit="1" customWidth="1"/>
    <col min="10" max="10" width="16" customWidth="1"/>
    <col min="11" max="11" width="13.6328125" customWidth="1"/>
    <col min="16" max="16" width="8.36328125" customWidth="1"/>
  </cols>
  <sheetData>
    <row r="1" spans="1:14" ht="21.5" thickBot="1" x14ac:dyDescent="0.55000000000000004">
      <c r="A1" s="6" t="s">
        <v>0</v>
      </c>
      <c r="B1" s="6" t="s">
        <v>1</v>
      </c>
      <c r="C1" s="6" t="s">
        <v>89</v>
      </c>
      <c r="D1" s="6" t="s">
        <v>2</v>
      </c>
      <c r="E1" s="6" t="s">
        <v>3</v>
      </c>
      <c r="F1" s="6" t="s">
        <v>4</v>
      </c>
      <c r="G1" s="6" t="s">
        <v>144</v>
      </c>
      <c r="H1" s="7" t="s">
        <v>147</v>
      </c>
    </row>
    <row r="2" spans="1:14" ht="21" x14ac:dyDescent="0.5">
      <c r="A2" s="4" t="s">
        <v>5</v>
      </c>
      <c r="B2" s="4" t="s">
        <v>6</v>
      </c>
      <c r="C2" s="4" t="s">
        <v>90</v>
      </c>
      <c r="D2" s="4" t="s">
        <v>7</v>
      </c>
      <c r="E2" s="4">
        <v>76</v>
      </c>
      <c r="F2" s="4">
        <v>82</v>
      </c>
      <c r="G2" s="4" t="s">
        <v>145</v>
      </c>
      <c r="H2" s="8">
        <v>22</v>
      </c>
      <c r="J2" s="75" t="s">
        <v>256</v>
      </c>
      <c r="K2" s="75"/>
    </row>
    <row r="3" spans="1:14" ht="21" x14ac:dyDescent="0.5">
      <c r="A3" s="5" t="s">
        <v>8</v>
      </c>
      <c r="B3" s="5" t="s">
        <v>9</v>
      </c>
      <c r="C3" s="5" t="s">
        <v>91</v>
      </c>
      <c r="D3" s="5" t="s">
        <v>15</v>
      </c>
      <c r="E3" s="5">
        <v>71</v>
      </c>
      <c r="F3" s="5">
        <v>91</v>
      </c>
      <c r="G3" s="5" t="s">
        <v>145</v>
      </c>
      <c r="H3" s="10">
        <v>34</v>
      </c>
    </row>
    <row r="4" spans="1:14" ht="21" x14ac:dyDescent="0.5">
      <c r="A4" s="3" t="s">
        <v>11</v>
      </c>
      <c r="B4" s="3" t="s">
        <v>12</v>
      </c>
      <c r="C4" s="3" t="s">
        <v>93</v>
      </c>
      <c r="D4" s="3" t="s">
        <v>7</v>
      </c>
      <c r="E4" s="3">
        <v>39</v>
      </c>
      <c r="F4" s="3">
        <v>65</v>
      </c>
      <c r="G4" s="3" t="s">
        <v>146</v>
      </c>
      <c r="H4" s="8">
        <v>21</v>
      </c>
      <c r="J4" s="28" t="s">
        <v>9</v>
      </c>
      <c r="K4" s="29" t="str">
        <f>VLOOKUP(J4, $B$2:$H$40, 3, 0)</f>
        <v>Commerce</v>
      </c>
    </row>
    <row r="5" spans="1:14" ht="21" x14ac:dyDescent="0.5">
      <c r="A5" s="5" t="s">
        <v>13</v>
      </c>
      <c r="B5" s="5" t="s">
        <v>14</v>
      </c>
      <c r="C5" s="5" t="s">
        <v>95</v>
      </c>
      <c r="D5" s="5" t="s">
        <v>15</v>
      </c>
      <c r="E5" s="5">
        <v>72</v>
      </c>
      <c r="F5" s="5">
        <v>93</v>
      </c>
      <c r="G5" s="5" t="s">
        <v>145</v>
      </c>
      <c r="H5" s="10">
        <v>25</v>
      </c>
      <c r="J5" s="28" t="s">
        <v>6</v>
      </c>
      <c r="K5" s="29" t="str">
        <f>VLOOKUP(J5, $B$2:$H$40, 3, 0)</f>
        <v>Arts</v>
      </c>
    </row>
    <row r="6" spans="1:14" ht="21" x14ac:dyDescent="0.5">
      <c r="A6" s="3" t="s">
        <v>16</v>
      </c>
      <c r="B6" s="3" t="s">
        <v>17</v>
      </c>
      <c r="C6" s="3" t="s">
        <v>96</v>
      </c>
      <c r="D6" s="3" t="s">
        <v>10</v>
      </c>
      <c r="E6" s="3">
        <v>60</v>
      </c>
      <c r="F6" s="3">
        <v>73</v>
      </c>
      <c r="G6" s="3" t="s">
        <v>146</v>
      </c>
      <c r="H6" s="8">
        <v>23</v>
      </c>
      <c r="J6" s="28" t="s">
        <v>37</v>
      </c>
      <c r="K6" s="29" t="str">
        <f>VLOOKUP(J6, $B$2:$H$40, 3, 0)</f>
        <v>Commerce</v>
      </c>
    </row>
    <row r="7" spans="1:14" ht="21" x14ac:dyDescent="0.5">
      <c r="A7" s="5" t="s">
        <v>18</v>
      </c>
      <c r="B7" s="5" t="s">
        <v>19</v>
      </c>
      <c r="C7" s="5" t="s">
        <v>98</v>
      </c>
      <c r="D7" s="5" t="s">
        <v>15</v>
      </c>
      <c r="E7" s="5">
        <v>84</v>
      </c>
      <c r="F7" s="5">
        <v>62</v>
      </c>
      <c r="G7" s="5" t="s">
        <v>145</v>
      </c>
      <c r="H7" s="10">
        <v>26</v>
      </c>
      <c r="J7" s="28" t="s">
        <v>179</v>
      </c>
      <c r="K7" s="29" t="str">
        <f>VLOOKUP(J7, $B$2:$H$40, 3, 0)</f>
        <v>Science</v>
      </c>
    </row>
    <row r="8" spans="1:14" ht="21" x14ac:dyDescent="0.5">
      <c r="A8" s="3" t="s">
        <v>20</v>
      </c>
      <c r="B8" s="3" t="s">
        <v>21</v>
      </c>
      <c r="C8" s="3" t="s">
        <v>99</v>
      </c>
      <c r="D8" s="3" t="s">
        <v>7</v>
      </c>
      <c r="E8" s="3">
        <v>60</v>
      </c>
      <c r="F8" s="3">
        <v>86</v>
      </c>
      <c r="G8" s="3" t="s">
        <v>146</v>
      </c>
      <c r="H8" s="8">
        <v>29</v>
      </c>
    </row>
    <row r="9" spans="1:14" ht="21" x14ac:dyDescent="0.5">
      <c r="A9" s="5" t="s">
        <v>22</v>
      </c>
      <c r="B9" s="5" t="s">
        <v>23</v>
      </c>
      <c r="C9" s="5" t="s">
        <v>101</v>
      </c>
      <c r="D9" s="5" t="s">
        <v>15</v>
      </c>
      <c r="E9" s="5">
        <v>98</v>
      </c>
      <c r="F9" s="5">
        <v>96</v>
      </c>
      <c r="G9" s="5" t="s">
        <v>146</v>
      </c>
      <c r="H9" s="10">
        <v>28</v>
      </c>
      <c r="J9" s="67" t="s">
        <v>17</v>
      </c>
      <c r="K9" s="71">
        <f>INDEX(H2:H11, 5)</f>
        <v>23</v>
      </c>
    </row>
    <row r="10" spans="1:14" ht="21" x14ac:dyDescent="0.5">
      <c r="A10" s="3" t="s">
        <v>24</v>
      </c>
      <c r="B10" s="3" t="s">
        <v>25</v>
      </c>
      <c r="C10" s="3" t="s">
        <v>103</v>
      </c>
      <c r="D10" s="3" t="s">
        <v>15</v>
      </c>
      <c r="E10" s="3">
        <v>44</v>
      </c>
      <c r="F10" s="3">
        <v>95</v>
      </c>
      <c r="G10" s="3" t="s">
        <v>145</v>
      </c>
      <c r="H10" s="8">
        <v>22</v>
      </c>
    </row>
    <row r="11" spans="1:14" ht="21" x14ac:dyDescent="0.5">
      <c r="A11" s="5" t="s">
        <v>26</v>
      </c>
      <c r="B11" s="5" t="s">
        <v>27</v>
      </c>
      <c r="C11" s="5" t="s">
        <v>104</v>
      </c>
      <c r="D11" s="5" t="s">
        <v>10</v>
      </c>
      <c r="E11" s="5">
        <v>94</v>
      </c>
      <c r="F11" s="5">
        <v>66</v>
      </c>
      <c r="G11" s="5" t="s">
        <v>145</v>
      </c>
      <c r="H11" s="10">
        <v>23</v>
      </c>
      <c r="M11" s="30"/>
      <c r="N11" s="30"/>
    </row>
    <row r="12" spans="1:14" ht="21" x14ac:dyDescent="0.5">
      <c r="A12" s="3" t="s">
        <v>28</v>
      </c>
      <c r="B12" s="3" t="s">
        <v>29</v>
      </c>
      <c r="C12" s="3" t="s">
        <v>105</v>
      </c>
      <c r="D12" s="3" t="s">
        <v>7</v>
      </c>
      <c r="E12" s="3">
        <v>78</v>
      </c>
      <c r="F12" s="3">
        <v>65</v>
      </c>
      <c r="G12" s="3" t="s">
        <v>145</v>
      </c>
      <c r="H12" s="8">
        <v>24</v>
      </c>
      <c r="J12" t="s">
        <v>74</v>
      </c>
    </row>
    <row r="13" spans="1:14" ht="21" x14ac:dyDescent="0.5">
      <c r="A13" s="5" t="s">
        <v>30</v>
      </c>
      <c r="B13" s="5" t="s">
        <v>31</v>
      </c>
      <c r="C13" s="5" t="s">
        <v>106</v>
      </c>
      <c r="D13" s="5" t="s">
        <v>10</v>
      </c>
      <c r="E13" s="5">
        <v>51</v>
      </c>
      <c r="F13" s="5">
        <v>61</v>
      </c>
      <c r="G13" s="5" t="s">
        <v>146</v>
      </c>
      <c r="H13" s="10">
        <v>22</v>
      </c>
      <c r="J13" t="s">
        <v>61</v>
      </c>
      <c r="K13" t="str">
        <f>INDEX(C2:C40, MATCH(J13, B2:B40,0))</f>
        <v>Banu</v>
      </c>
    </row>
    <row r="14" spans="1:14" ht="21" x14ac:dyDescent="0.5">
      <c r="A14" s="3" t="s">
        <v>32</v>
      </c>
      <c r="B14" s="3" t="s">
        <v>33</v>
      </c>
      <c r="C14" s="3" t="s">
        <v>108</v>
      </c>
      <c r="D14" s="3" t="s">
        <v>7</v>
      </c>
      <c r="E14" s="3">
        <v>73</v>
      </c>
      <c r="F14" s="3">
        <v>91</v>
      </c>
      <c r="G14" s="3" t="s">
        <v>145</v>
      </c>
      <c r="H14" s="8">
        <v>25</v>
      </c>
    </row>
    <row r="15" spans="1:14" ht="21" x14ac:dyDescent="0.5">
      <c r="A15" s="5" t="s">
        <v>34</v>
      </c>
      <c r="B15" s="5" t="s">
        <v>35</v>
      </c>
      <c r="C15" s="5" t="s">
        <v>109</v>
      </c>
      <c r="D15" s="5" t="s">
        <v>15</v>
      </c>
      <c r="E15" s="5">
        <v>60</v>
      </c>
      <c r="F15" s="5">
        <v>88</v>
      </c>
      <c r="G15" s="5" t="s">
        <v>146</v>
      </c>
      <c r="H15" s="10">
        <v>26</v>
      </c>
      <c r="J15">
        <f>INDEX($H$2:$H$40, MATCH(J12,$B$2:$B$40,0))</f>
        <v>25</v>
      </c>
    </row>
    <row r="16" spans="1:14" ht="21" x14ac:dyDescent="0.5">
      <c r="A16" s="3" t="s">
        <v>36</v>
      </c>
      <c r="B16" s="3" t="s">
        <v>37</v>
      </c>
      <c r="C16" s="3" t="s">
        <v>111</v>
      </c>
      <c r="D16" s="3" t="s">
        <v>15</v>
      </c>
      <c r="E16" s="3">
        <v>41</v>
      </c>
      <c r="F16" s="3">
        <v>88</v>
      </c>
      <c r="G16" s="3" t="s">
        <v>146</v>
      </c>
      <c r="H16" s="8">
        <v>27</v>
      </c>
    </row>
    <row r="17" spans="1:8" ht="21" x14ac:dyDescent="0.5">
      <c r="A17" s="5" t="s">
        <v>38</v>
      </c>
      <c r="B17" s="5" t="s">
        <v>39</v>
      </c>
      <c r="C17" s="5" t="s">
        <v>113</v>
      </c>
      <c r="D17" s="5" t="s">
        <v>15</v>
      </c>
      <c r="E17" s="5">
        <v>35</v>
      </c>
      <c r="F17" s="5">
        <v>90</v>
      </c>
      <c r="G17" s="5" t="s">
        <v>145</v>
      </c>
      <c r="H17" s="10">
        <v>22</v>
      </c>
    </row>
    <row r="18" spans="1:8" ht="21" x14ac:dyDescent="0.5">
      <c r="A18" s="3" t="s">
        <v>40</v>
      </c>
      <c r="B18" s="3" t="s">
        <v>41</v>
      </c>
      <c r="C18" s="3" t="s">
        <v>114</v>
      </c>
      <c r="D18" s="3" t="s">
        <v>10</v>
      </c>
      <c r="E18" s="3">
        <v>55</v>
      </c>
      <c r="F18" s="3">
        <v>96</v>
      </c>
      <c r="G18" s="3" t="s">
        <v>145</v>
      </c>
      <c r="H18" s="8">
        <v>24</v>
      </c>
    </row>
    <row r="19" spans="1:8" ht="21" x14ac:dyDescent="0.5">
      <c r="A19" s="5" t="s">
        <v>42</v>
      </c>
      <c r="B19" s="5" t="s">
        <v>43</v>
      </c>
      <c r="C19" s="5" t="s">
        <v>90</v>
      </c>
      <c r="D19" s="5" t="s">
        <v>7</v>
      </c>
      <c r="E19" s="5">
        <v>74</v>
      </c>
      <c r="F19" s="5">
        <v>71</v>
      </c>
      <c r="G19" s="5" t="s">
        <v>145</v>
      </c>
      <c r="H19" s="10">
        <v>23</v>
      </c>
    </row>
    <row r="20" spans="1:8" ht="21" x14ac:dyDescent="0.5">
      <c r="A20" s="3" t="s">
        <v>44</v>
      </c>
      <c r="B20" s="3" t="s">
        <v>45</v>
      </c>
      <c r="C20" s="3" t="s">
        <v>96</v>
      </c>
      <c r="D20" s="3" t="s">
        <v>10</v>
      </c>
      <c r="E20" s="3">
        <v>36</v>
      </c>
      <c r="F20" s="3">
        <v>62</v>
      </c>
      <c r="G20" s="3" t="s">
        <v>146</v>
      </c>
      <c r="H20" s="8">
        <v>21</v>
      </c>
    </row>
    <row r="21" spans="1:8" ht="21" x14ac:dyDescent="0.5">
      <c r="A21" s="5" t="s">
        <v>46</v>
      </c>
      <c r="B21" s="5" t="s">
        <v>47</v>
      </c>
      <c r="C21" s="5" t="s">
        <v>115</v>
      </c>
      <c r="D21" s="5" t="s">
        <v>15</v>
      </c>
      <c r="E21" s="5">
        <v>53</v>
      </c>
      <c r="F21" s="5">
        <v>100</v>
      </c>
      <c r="G21" s="5" t="s">
        <v>145</v>
      </c>
      <c r="H21" s="10">
        <v>25</v>
      </c>
    </row>
    <row r="22" spans="1:8" ht="21" x14ac:dyDescent="0.5">
      <c r="A22" s="3" t="s">
        <v>40</v>
      </c>
      <c r="B22" s="3" t="s">
        <v>41</v>
      </c>
      <c r="C22" s="3" t="s">
        <v>114</v>
      </c>
      <c r="D22" s="3" t="s">
        <v>10</v>
      </c>
      <c r="E22" s="3">
        <v>55</v>
      </c>
      <c r="F22" s="3">
        <v>96</v>
      </c>
      <c r="G22" s="3" t="s">
        <v>145</v>
      </c>
      <c r="H22" s="8">
        <v>24</v>
      </c>
    </row>
    <row r="23" spans="1:8" ht="21" x14ac:dyDescent="0.5">
      <c r="A23" s="5" t="s">
        <v>48</v>
      </c>
      <c r="B23" s="5" t="s">
        <v>49</v>
      </c>
      <c r="C23" s="5" t="s">
        <v>116</v>
      </c>
      <c r="D23" s="5" t="s">
        <v>10</v>
      </c>
      <c r="E23" s="5">
        <v>80</v>
      </c>
      <c r="F23" s="5">
        <v>67</v>
      </c>
      <c r="G23" s="5" t="s">
        <v>145</v>
      </c>
      <c r="H23" s="10">
        <v>26</v>
      </c>
    </row>
    <row r="24" spans="1:8" ht="21" x14ac:dyDescent="0.5">
      <c r="A24" s="3" t="s">
        <v>50</v>
      </c>
      <c r="B24" s="3" t="s">
        <v>51</v>
      </c>
      <c r="C24" s="3" t="s">
        <v>117</v>
      </c>
      <c r="D24" s="3" t="s">
        <v>7</v>
      </c>
      <c r="E24" s="3">
        <v>62</v>
      </c>
      <c r="F24" s="3">
        <v>83</v>
      </c>
      <c r="G24" s="3" t="s">
        <v>145</v>
      </c>
      <c r="H24" s="8">
        <v>23</v>
      </c>
    </row>
    <row r="25" spans="1:8" ht="21" x14ac:dyDescent="0.5">
      <c r="A25" s="5" t="s">
        <v>52</v>
      </c>
      <c r="B25" s="5" t="s">
        <v>53</v>
      </c>
      <c r="C25" s="5" t="s">
        <v>118</v>
      </c>
      <c r="D25" s="5" t="s">
        <v>7</v>
      </c>
      <c r="E25" s="5">
        <v>98</v>
      </c>
      <c r="F25" s="5">
        <v>92</v>
      </c>
      <c r="G25" s="5" t="s">
        <v>146</v>
      </c>
      <c r="H25" s="10">
        <v>24</v>
      </c>
    </row>
    <row r="26" spans="1:8" ht="21" x14ac:dyDescent="0.5">
      <c r="A26" s="3" t="s">
        <v>54</v>
      </c>
      <c r="B26" s="3" t="s">
        <v>55</v>
      </c>
      <c r="C26" s="3" t="s">
        <v>120</v>
      </c>
      <c r="D26" s="3" t="s">
        <v>7</v>
      </c>
      <c r="E26" s="3">
        <v>41</v>
      </c>
      <c r="F26" s="3">
        <v>62</v>
      </c>
      <c r="G26" s="3" t="s">
        <v>146</v>
      </c>
      <c r="H26" s="8">
        <v>28</v>
      </c>
    </row>
    <row r="27" spans="1:8" ht="21" x14ac:dyDescent="0.5">
      <c r="A27" s="5" t="s">
        <v>56</v>
      </c>
      <c r="B27" s="5" t="s">
        <v>57</v>
      </c>
      <c r="C27" s="5" t="s">
        <v>121</v>
      </c>
      <c r="D27" s="5" t="s">
        <v>10</v>
      </c>
      <c r="E27" s="5">
        <v>37</v>
      </c>
      <c r="F27" s="5">
        <v>73</v>
      </c>
      <c r="G27" s="5" t="s">
        <v>146</v>
      </c>
      <c r="H27" s="10">
        <v>25</v>
      </c>
    </row>
    <row r="28" spans="1:8" ht="21" x14ac:dyDescent="0.5">
      <c r="A28" s="3" t="s">
        <v>58</v>
      </c>
      <c r="B28" s="3" t="s">
        <v>59</v>
      </c>
      <c r="C28" s="3" t="s">
        <v>123</v>
      </c>
      <c r="D28" s="3" t="s">
        <v>15</v>
      </c>
      <c r="E28" s="3">
        <v>76</v>
      </c>
      <c r="F28" s="3">
        <v>80</v>
      </c>
      <c r="G28" s="3" t="s">
        <v>145</v>
      </c>
      <c r="H28" s="8">
        <v>27</v>
      </c>
    </row>
    <row r="29" spans="1:8" ht="21" x14ac:dyDescent="0.5">
      <c r="A29" s="5" t="s">
        <v>40</v>
      </c>
      <c r="B29" s="5" t="s">
        <v>41</v>
      </c>
      <c r="C29" s="5" t="s">
        <v>114</v>
      </c>
      <c r="D29" s="5" t="s">
        <v>10</v>
      </c>
      <c r="E29" s="5">
        <v>55</v>
      </c>
      <c r="F29" s="5">
        <v>96</v>
      </c>
      <c r="G29" s="5" t="s">
        <v>145</v>
      </c>
      <c r="H29" s="10">
        <v>24</v>
      </c>
    </row>
    <row r="30" spans="1:8" ht="21" x14ac:dyDescent="0.5">
      <c r="A30" s="3" t="s">
        <v>60</v>
      </c>
      <c r="B30" s="3" t="s">
        <v>61</v>
      </c>
      <c r="C30" s="3" t="s">
        <v>124</v>
      </c>
      <c r="D30" s="3" t="s">
        <v>15</v>
      </c>
      <c r="E30" s="3">
        <v>71</v>
      </c>
      <c r="F30" s="3">
        <v>84</v>
      </c>
      <c r="G30" s="3" t="s">
        <v>146</v>
      </c>
      <c r="H30" s="8">
        <v>26</v>
      </c>
    </row>
    <row r="31" spans="1:8" ht="21" x14ac:dyDescent="0.5">
      <c r="A31" s="5" t="s">
        <v>62</v>
      </c>
      <c r="B31" s="5" t="s">
        <v>63</v>
      </c>
      <c r="C31" s="5" t="s">
        <v>125</v>
      </c>
      <c r="D31" s="5" t="s">
        <v>15</v>
      </c>
      <c r="E31" s="5">
        <v>53</v>
      </c>
      <c r="F31" s="5">
        <v>65</v>
      </c>
      <c r="G31" s="5" t="s">
        <v>145</v>
      </c>
      <c r="H31" s="10">
        <v>23</v>
      </c>
    </row>
    <row r="32" spans="1:8" ht="21" x14ac:dyDescent="0.5">
      <c r="A32" s="3" t="s">
        <v>64</v>
      </c>
      <c r="B32" s="3" t="s">
        <v>65</v>
      </c>
      <c r="C32" s="3" t="s">
        <v>126</v>
      </c>
      <c r="D32" s="3" t="s">
        <v>7</v>
      </c>
      <c r="E32" s="3">
        <v>54</v>
      </c>
      <c r="F32" s="3">
        <v>99</v>
      </c>
      <c r="G32" s="3" t="s">
        <v>145</v>
      </c>
      <c r="H32" s="8">
        <v>28</v>
      </c>
    </row>
    <row r="33" spans="1:8" ht="21" x14ac:dyDescent="0.5">
      <c r="A33" s="5" t="s">
        <v>66</v>
      </c>
      <c r="B33" s="5" t="s">
        <v>59</v>
      </c>
      <c r="C33" s="5" t="s">
        <v>123</v>
      </c>
      <c r="D33" s="5" t="s">
        <v>15</v>
      </c>
      <c r="E33" s="5">
        <v>76</v>
      </c>
      <c r="F33" s="5">
        <v>80</v>
      </c>
      <c r="G33" s="5" t="s">
        <v>145</v>
      </c>
      <c r="H33" s="10">
        <v>27</v>
      </c>
    </row>
    <row r="34" spans="1:8" ht="21" x14ac:dyDescent="0.5">
      <c r="A34" s="3" t="s">
        <v>67</v>
      </c>
      <c r="B34" s="3" t="s">
        <v>68</v>
      </c>
      <c r="C34" s="3" t="s">
        <v>96</v>
      </c>
      <c r="D34" s="3" t="s">
        <v>10</v>
      </c>
      <c r="E34" s="3">
        <v>90</v>
      </c>
      <c r="F34" s="3">
        <v>66</v>
      </c>
      <c r="G34" s="3" t="s">
        <v>146</v>
      </c>
      <c r="H34" s="8">
        <v>22</v>
      </c>
    </row>
    <row r="35" spans="1:8" ht="21" x14ac:dyDescent="0.5">
      <c r="A35" s="5" t="s">
        <v>69</v>
      </c>
      <c r="B35" s="5" t="s">
        <v>70</v>
      </c>
      <c r="C35" s="5" t="s">
        <v>127</v>
      </c>
      <c r="D35" s="5" t="s">
        <v>7</v>
      </c>
      <c r="E35" s="5">
        <v>80</v>
      </c>
      <c r="F35" s="5">
        <v>91</v>
      </c>
      <c r="G35" s="5" t="s">
        <v>146</v>
      </c>
      <c r="H35" s="10">
        <v>29</v>
      </c>
    </row>
    <row r="36" spans="1:8" ht="21" x14ac:dyDescent="0.5">
      <c r="A36" s="3" t="s">
        <v>71</v>
      </c>
      <c r="B36" s="3" t="s">
        <v>72</v>
      </c>
      <c r="C36" s="3" t="s">
        <v>128</v>
      </c>
      <c r="D36" s="3" t="s">
        <v>10</v>
      </c>
      <c r="E36" s="3">
        <v>57</v>
      </c>
      <c r="F36" s="3">
        <v>72</v>
      </c>
      <c r="G36" s="3" t="s">
        <v>146</v>
      </c>
      <c r="H36" s="8">
        <v>23</v>
      </c>
    </row>
    <row r="37" spans="1:8" ht="21" x14ac:dyDescent="0.5">
      <c r="A37" s="5" t="s">
        <v>73</v>
      </c>
      <c r="B37" s="5" t="s">
        <v>74</v>
      </c>
      <c r="C37" s="5" t="s">
        <v>129</v>
      </c>
      <c r="D37" s="5" t="s">
        <v>10</v>
      </c>
      <c r="E37" s="5">
        <v>92</v>
      </c>
      <c r="F37" s="5">
        <v>87</v>
      </c>
      <c r="G37" s="5" t="s">
        <v>145</v>
      </c>
      <c r="H37" s="10">
        <v>25</v>
      </c>
    </row>
    <row r="38" spans="1:8" ht="21" x14ac:dyDescent="0.5">
      <c r="A38" s="3" t="s">
        <v>75</v>
      </c>
      <c r="B38" s="3" t="s">
        <v>76</v>
      </c>
      <c r="C38" s="3" t="s">
        <v>130</v>
      </c>
      <c r="D38" s="3" t="s">
        <v>7</v>
      </c>
      <c r="E38" s="3">
        <v>52</v>
      </c>
      <c r="F38" s="3">
        <v>84</v>
      </c>
      <c r="G38" s="3" t="s">
        <v>145</v>
      </c>
      <c r="H38" s="8">
        <v>22</v>
      </c>
    </row>
    <row r="39" spans="1:8" ht="21" x14ac:dyDescent="0.5">
      <c r="A39" s="5" t="s">
        <v>77</v>
      </c>
      <c r="B39" s="5" t="s">
        <v>63</v>
      </c>
      <c r="C39" s="5" t="s">
        <v>125</v>
      </c>
      <c r="D39" s="5" t="s">
        <v>15</v>
      </c>
      <c r="E39" s="5">
        <v>53</v>
      </c>
      <c r="F39" s="5">
        <v>65</v>
      </c>
      <c r="G39" s="5" t="s">
        <v>145</v>
      </c>
      <c r="H39" s="8">
        <v>23</v>
      </c>
    </row>
    <row r="40" spans="1:8" ht="21" x14ac:dyDescent="0.5">
      <c r="A40" s="2" t="s">
        <v>78</v>
      </c>
      <c r="B40" s="2" t="s">
        <v>79</v>
      </c>
      <c r="C40" s="2" t="s">
        <v>131</v>
      </c>
      <c r="D40" s="2" t="s">
        <v>15</v>
      </c>
      <c r="E40" s="2">
        <v>97</v>
      </c>
      <c r="F40" s="2">
        <v>88</v>
      </c>
      <c r="G40" s="2" t="s">
        <v>145</v>
      </c>
      <c r="H40" s="9">
        <v>24</v>
      </c>
    </row>
  </sheetData>
  <mergeCells count="1">
    <mergeCell ref="J2:K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DB6B1-CC19-45FE-A704-F2DFE669B635}">
  <dimension ref="A1:G59"/>
  <sheetViews>
    <sheetView workbookViewId="0">
      <selection activeCell="A2" sqref="A2:G2"/>
    </sheetView>
  </sheetViews>
  <sheetFormatPr defaultRowHeight="14.5" x14ac:dyDescent="0.35"/>
  <cols>
    <col min="1" max="1" width="17.08984375" bestFit="1" customWidth="1"/>
    <col min="2" max="2" width="10.54296875" bestFit="1" customWidth="1"/>
    <col min="3" max="3" width="16" customWidth="1"/>
    <col min="4" max="4" width="13.6328125" customWidth="1"/>
    <col min="9" max="9" width="8.36328125" customWidth="1"/>
  </cols>
  <sheetData>
    <row r="1" spans="1:7" ht="21.5" thickBot="1" x14ac:dyDescent="0.55000000000000004">
      <c r="A1" s="68" t="s">
        <v>1</v>
      </c>
      <c r="B1" s="69" t="s">
        <v>257</v>
      </c>
      <c r="C1" s="70" t="s">
        <v>2</v>
      </c>
      <c r="D1" s="70" t="s">
        <v>3</v>
      </c>
      <c r="E1" s="70" t="s">
        <v>258</v>
      </c>
      <c r="F1" s="70" t="s">
        <v>144</v>
      </c>
      <c r="G1" s="70" t="s">
        <v>147</v>
      </c>
    </row>
    <row r="2" spans="1:7" ht="21" x14ac:dyDescent="0.5">
      <c r="A2" s="4" t="s">
        <v>6</v>
      </c>
      <c r="B2" t="str">
        <f>VLOOKUP($A2,VLKP!$B$2:$H$40, 2, 0)</f>
        <v>Kumar</v>
      </c>
      <c r="C2" t="str">
        <f>VLOOKUP($A2,VLKP!$B$2:$H$40, 3, 0)</f>
        <v>Arts</v>
      </c>
      <c r="D2">
        <f>VLOOKUP($A2,VLKP!$B$2:$H$40, 4, 0)</f>
        <v>76</v>
      </c>
      <c r="E2">
        <f>VLOOKUP($A2,VLKP!$B$2:$H$40, 5, 0)</f>
        <v>82</v>
      </c>
      <c r="F2" t="str">
        <f>VLOOKUP($A2,VLKP!$B$2:$H$40, 6, 0)</f>
        <v>M</v>
      </c>
      <c r="G2">
        <f>VLOOKUP($A2,VLKP!$B$2:$H$40, 7, 0)</f>
        <v>22</v>
      </c>
    </row>
    <row r="3" spans="1:7" ht="21" x14ac:dyDescent="0.5">
      <c r="A3" s="5" t="s">
        <v>9</v>
      </c>
      <c r="B3" t="str">
        <f>VLOOKUP($A3,VLKP!$B$2:$H$40, 2, 0)</f>
        <v>Raj</v>
      </c>
      <c r="C3" t="str">
        <f>VLOOKUP($A3,VLKP!$B$2:$H$40, 3, 0)</f>
        <v>Commerce</v>
      </c>
      <c r="D3">
        <f>VLOOKUP($A3,VLKP!$B$2:$H$40, 4, 0)</f>
        <v>71</v>
      </c>
      <c r="E3">
        <f>VLOOKUP($A3,VLKP!$B$2:$H$40, 5, 0)</f>
        <v>91</v>
      </c>
      <c r="F3" t="str">
        <f>VLOOKUP($A3,VLKP!$B$2:$H$40, 6, 0)</f>
        <v>M</v>
      </c>
      <c r="G3">
        <f>VLOOKUP($A3,VLKP!$B$2:$H$40, 7, 0)</f>
        <v>34</v>
      </c>
    </row>
    <row r="4" spans="1:7" ht="21" x14ac:dyDescent="0.5">
      <c r="A4" s="3" t="s">
        <v>12</v>
      </c>
      <c r="B4" t="str">
        <f>VLOOKUP($A4,VLKP!$B$2:$H$40, 2, 0)</f>
        <v>Rani</v>
      </c>
      <c r="C4" t="str">
        <f>VLOOKUP($A4,VLKP!$B$2:$H$40, 3, 0)</f>
        <v>Arts</v>
      </c>
      <c r="D4">
        <f>VLOOKUP($A4,VLKP!$B$2:$H$40, 4, 0)</f>
        <v>39</v>
      </c>
      <c r="E4">
        <f>VLOOKUP($A4,VLKP!$B$2:$H$40, 5, 0)</f>
        <v>65</v>
      </c>
      <c r="F4" t="str">
        <f>VLOOKUP($A4,VLKP!$B$2:$H$40, 6, 0)</f>
        <v>F</v>
      </c>
      <c r="G4">
        <f>VLOOKUP($A4,VLKP!$B$2:$H$40, 7, 0)</f>
        <v>21</v>
      </c>
    </row>
    <row r="5" spans="1:7" ht="21" x14ac:dyDescent="0.5">
      <c r="A5" s="5" t="s">
        <v>14</v>
      </c>
      <c r="B5" t="str">
        <f>VLOOKUP($A5,VLKP!$B$2:$H$40, 2, 0)</f>
        <v>Babu</v>
      </c>
      <c r="C5" t="str">
        <f>VLOOKUP($A5,VLKP!$B$2:$H$40, 3, 0)</f>
        <v>Commerce</v>
      </c>
      <c r="D5">
        <f>VLOOKUP($A5,VLKP!$B$2:$H$40, 4, 0)</f>
        <v>72</v>
      </c>
      <c r="E5">
        <f>VLOOKUP($A5,VLKP!$B$2:$H$40, 5, 0)</f>
        <v>93</v>
      </c>
      <c r="F5" t="str">
        <f>VLOOKUP($A5,VLKP!$B$2:$H$40, 6, 0)</f>
        <v>M</v>
      </c>
      <c r="G5">
        <f>VLOOKUP($A5,VLKP!$B$2:$H$40, 7, 0)</f>
        <v>25</v>
      </c>
    </row>
    <row r="6" spans="1:7" ht="21" x14ac:dyDescent="0.5">
      <c r="A6" s="3" t="s">
        <v>17</v>
      </c>
      <c r="B6" t="str">
        <f>VLOOKUP($A6,VLKP!$B$2:$H$40, 2, 0)</f>
        <v>Devi</v>
      </c>
      <c r="C6" t="str">
        <f>VLOOKUP($A6,VLKP!$B$2:$H$40, 3, 0)</f>
        <v>Science</v>
      </c>
      <c r="D6">
        <f>VLOOKUP($A6,VLKP!$B$2:$H$40, 4, 0)</f>
        <v>60</v>
      </c>
      <c r="E6">
        <f>VLOOKUP($A6,VLKP!$B$2:$H$40, 5, 0)</f>
        <v>73</v>
      </c>
      <c r="F6" t="str">
        <f>VLOOKUP($A6,VLKP!$B$2:$H$40, 6, 0)</f>
        <v>F</v>
      </c>
      <c r="G6">
        <f>VLOOKUP($A6,VLKP!$B$2:$H$40, 7, 0)</f>
        <v>23</v>
      </c>
    </row>
    <row r="7" spans="1:7" ht="21" x14ac:dyDescent="0.5">
      <c r="A7" s="5" t="s">
        <v>19</v>
      </c>
      <c r="B7" t="str">
        <f>VLOOKUP($A7,VLKP!$B$2:$H$40, 2, 0)</f>
        <v>Muthu</v>
      </c>
      <c r="C7" t="str">
        <f>VLOOKUP($A7,VLKP!$B$2:$H$40, 3, 0)</f>
        <v>Commerce</v>
      </c>
      <c r="D7">
        <f>VLOOKUP($A7,VLKP!$B$2:$H$40, 4, 0)</f>
        <v>84</v>
      </c>
      <c r="E7">
        <f>VLOOKUP($A7,VLKP!$B$2:$H$40, 5, 0)</f>
        <v>62</v>
      </c>
      <c r="F7" t="str">
        <f>VLOOKUP($A7,VLKP!$B$2:$H$40, 6, 0)</f>
        <v>M</v>
      </c>
      <c r="G7">
        <f>VLOOKUP($A7,VLKP!$B$2:$H$40, 7, 0)</f>
        <v>26</v>
      </c>
    </row>
    <row r="8" spans="1:7" ht="21" x14ac:dyDescent="0.5">
      <c r="A8" s="3" t="s">
        <v>21</v>
      </c>
      <c r="B8" t="str">
        <f>VLOOKUP($A8,VLKP!$B$2:$H$40, 2, 0)</f>
        <v>Lakshmi</v>
      </c>
      <c r="C8" t="str">
        <f>VLOOKUP($A8,VLKP!$B$2:$H$40, 3, 0)</f>
        <v>Arts</v>
      </c>
      <c r="D8">
        <f>VLOOKUP($A8,VLKP!$B$2:$H$40, 4, 0)</f>
        <v>60</v>
      </c>
      <c r="E8">
        <f>VLOOKUP($A8,VLKP!$B$2:$H$40, 5, 0)</f>
        <v>86</v>
      </c>
      <c r="F8" t="str">
        <f>VLOOKUP($A8,VLKP!$B$2:$H$40, 6, 0)</f>
        <v>F</v>
      </c>
      <c r="G8">
        <f>VLOOKUP($A8,VLKP!$B$2:$H$40, 7, 0)</f>
        <v>29</v>
      </c>
    </row>
    <row r="9" spans="1:7" ht="21" x14ac:dyDescent="0.5">
      <c r="A9" s="5" t="s">
        <v>23</v>
      </c>
      <c r="B9" t="str">
        <f>VLOOKUP($A9,VLKP!$B$2:$H$40, 2, 0)</f>
        <v>Selvi</v>
      </c>
      <c r="C9" t="str">
        <f>VLOOKUP($A9,VLKP!$B$2:$H$40, 3, 0)</f>
        <v>Commerce</v>
      </c>
      <c r="D9">
        <f>VLOOKUP($A9,VLKP!$B$2:$H$40, 4, 0)</f>
        <v>98</v>
      </c>
      <c r="E9">
        <f>VLOOKUP($A9,VLKP!$B$2:$H$40, 5, 0)</f>
        <v>96</v>
      </c>
      <c r="F9" t="str">
        <f>VLOOKUP($A9,VLKP!$B$2:$H$40, 6, 0)</f>
        <v>F</v>
      </c>
      <c r="G9">
        <f>VLOOKUP($A9,VLKP!$B$2:$H$40, 7, 0)</f>
        <v>28</v>
      </c>
    </row>
    <row r="10" spans="1:7" ht="21" x14ac:dyDescent="0.5">
      <c r="A10" s="3" t="s">
        <v>25</v>
      </c>
      <c r="B10" t="str">
        <f>VLOOKUP($A10,VLKP!$B$2:$H$40, 2, 0)</f>
        <v>Velu</v>
      </c>
      <c r="C10" t="str">
        <f>VLOOKUP($A10,VLKP!$B$2:$H$40, 3, 0)</f>
        <v>Commerce</v>
      </c>
      <c r="D10">
        <f>VLOOKUP($A10,VLKP!$B$2:$H$40, 4, 0)</f>
        <v>44</v>
      </c>
      <c r="E10">
        <f>VLOOKUP($A10,VLKP!$B$2:$H$40, 5, 0)</f>
        <v>95</v>
      </c>
      <c r="F10" t="str">
        <f>VLOOKUP($A10,VLKP!$B$2:$H$40, 6, 0)</f>
        <v>M</v>
      </c>
      <c r="G10">
        <f>VLOOKUP($A10,VLKP!$B$2:$H$40, 7, 0)</f>
        <v>22</v>
      </c>
    </row>
    <row r="11" spans="1:7" ht="21" x14ac:dyDescent="0.5">
      <c r="A11" s="5" t="s">
        <v>27</v>
      </c>
      <c r="B11" t="str">
        <f>VLOOKUP($A11,VLKP!$B$2:$H$40, 2, 0)</f>
        <v>Gopi</v>
      </c>
      <c r="C11" t="str">
        <f>VLOOKUP($A11,VLKP!$B$2:$H$40, 3, 0)</f>
        <v>Science</v>
      </c>
      <c r="D11">
        <f>VLOOKUP($A11,VLKP!$B$2:$H$40, 4, 0)</f>
        <v>94</v>
      </c>
      <c r="E11">
        <f>VLOOKUP($A11,VLKP!$B$2:$H$40, 5, 0)</f>
        <v>66</v>
      </c>
      <c r="F11" t="str">
        <f>VLOOKUP($A11,VLKP!$B$2:$H$40, 6, 0)</f>
        <v>M</v>
      </c>
      <c r="G11">
        <f>VLOOKUP($A11,VLKP!$B$2:$H$40, 7, 0)</f>
        <v>23</v>
      </c>
    </row>
    <row r="12" spans="1:7" ht="21" x14ac:dyDescent="0.5">
      <c r="A12" s="3" t="s">
        <v>29</v>
      </c>
      <c r="B12" t="str">
        <f>VLOOKUP($A12,VLKP!$B$2:$H$40, 2, 0)</f>
        <v>Sekar</v>
      </c>
      <c r="C12" t="str">
        <f>VLOOKUP($A12,VLKP!$B$2:$H$40, 3, 0)</f>
        <v>Arts</v>
      </c>
      <c r="D12">
        <f>VLOOKUP($A12,VLKP!$B$2:$H$40, 4, 0)</f>
        <v>78</v>
      </c>
      <c r="E12">
        <f>VLOOKUP($A12,VLKP!$B$2:$H$40, 5, 0)</f>
        <v>65</v>
      </c>
      <c r="F12" t="str">
        <f>VLOOKUP($A12,VLKP!$B$2:$H$40, 6, 0)</f>
        <v>M</v>
      </c>
      <c r="G12">
        <f>VLOOKUP($A12,VLKP!$B$2:$H$40, 7, 0)</f>
        <v>24</v>
      </c>
    </row>
    <row r="13" spans="1:7" ht="21" x14ac:dyDescent="0.5">
      <c r="A13" s="5" t="s">
        <v>31</v>
      </c>
      <c r="B13" t="str">
        <f>VLOOKUP($A13,VLKP!$B$2:$H$40, 2, 0)</f>
        <v>Raji</v>
      </c>
      <c r="C13" t="str">
        <f>VLOOKUP($A13,VLKP!$B$2:$H$40, 3, 0)</f>
        <v>Science</v>
      </c>
      <c r="D13">
        <f>VLOOKUP($A13,VLKP!$B$2:$H$40, 4, 0)</f>
        <v>51</v>
      </c>
      <c r="E13">
        <f>VLOOKUP($A13,VLKP!$B$2:$H$40, 5, 0)</f>
        <v>61</v>
      </c>
      <c r="F13" t="str">
        <f>VLOOKUP($A13,VLKP!$B$2:$H$40, 6, 0)</f>
        <v>F</v>
      </c>
      <c r="G13">
        <f>VLOOKUP($A13,VLKP!$B$2:$H$40, 7, 0)</f>
        <v>22</v>
      </c>
    </row>
    <row r="14" spans="1:7" ht="21" x14ac:dyDescent="0.5">
      <c r="A14" s="3" t="s">
        <v>33</v>
      </c>
      <c r="B14" t="str">
        <f>VLOOKUP($A14,VLKP!$B$2:$H$40, 2, 0)</f>
        <v>Arul</v>
      </c>
      <c r="C14" t="str">
        <f>VLOOKUP($A14,VLKP!$B$2:$H$40, 3, 0)</f>
        <v>Arts</v>
      </c>
      <c r="D14">
        <f>VLOOKUP($A14,VLKP!$B$2:$H$40, 4, 0)</f>
        <v>73</v>
      </c>
      <c r="E14">
        <f>VLOOKUP($A14,VLKP!$B$2:$H$40, 5, 0)</f>
        <v>91</v>
      </c>
      <c r="F14" t="str">
        <f>VLOOKUP($A14,VLKP!$B$2:$H$40, 6, 0)</f>
        <v>M</v>
      </c>
      <c r="G14">
        <f>VLOOKUP($A14,VLKP!$B$2:$H$40, 7, 0)</f>
        <v>25</v>
      </c>
    </row>
    <row r="15" spans="1:7" ht="21" x14ac:dyDescent="0.5">
      <c r="A15" s="5" t="s">
        <v>35</v>
      </c>
      <c r="B15" t="str">
        <f>VLOOKUP($A15,VLKP!$B$2:$H$40, 2, 0)</f>
        <v>Radha</v>
      </c>
      <c r="C15" t="str">
        <f>VLOOKUP($A15,VLKP!$B$2:$H$40, 3, 0)</f>
        <v>Commerce</v>
      </c>
      <c r="D15">
        <f>VLOOKUP($A15,VLKP!$B$2:$H$40, 4, 0)</f>
        <v>60</v>
      </c>
      <c r="E15">
        <f>VLOOKUP($A15,VLKP!$B$2:$H$40, 5, 0)</f>
        <v>88</v>
      </c>
      <c r="F15" t="str">
        <f>VLOOKUP($A15,VLKP!$B$2:$H$40, 6, 0)</f>
        <v>F</v>
      </c>
      <c r="G15">
        <f>VLOOKUP($A15,VLKP!$B$2:$H$40, 7, 0)</f>
        <v>26</v>
      </c>
    </row>
    <row r="16" spans="1:7" ht="21" x14ac:dyDescent="0.5">
      <c r="A16" s="3" t="s">
        <v>37</v>
      </c>
      <c r="B16" t="str">
        <f>VLOOKUP($A16,VLKP!$B$2:$H$40, 2, 0)</f>
        <v>Meena</v>
      </c>
      <c r="C16" t="str">
        <f>VLOOKUP($A16,VLKP!$B$2:$H$40, 3, 0)</f>
        <v>Commerce</v>
      </c>
      <c r="D16">
        <f>VLOOKUP($A16,VLKP!$B$2:$H$40, 4, 0)</f>
        <v>41</v>
      </c>
      <c r="E16">
        <f>VLOOKUP($A16,VLKP!$B$2:$H$40, 5, 0)</f>
        <v>88</v>
      </c>
      <c r="F16" t="str">
        <f>VLOOKUP($A16,VLKP!$B$2:$H$40, 6, 0)</f>
        <v>F</v>
      </c>
      <c r="G16">
        <f>VLOOKUP($A16,VLKP!$B$2:$H$40, 7, 0)</f>
        <v>27</v>
      </c>
    </row>
    <row r="17" spans="1:7" ht="21" x14ac:dyDescent="0.5">
      <c r="A17" s="5" t="s">
        <v>39</v>
      </c>
      <c r="B17" t="str">
        <f>VLOOKUP($A17,VLKP!$B$2:$H$40, 2, 0)</f>
        <v>Hari</v>
      </c>
      <c r="C17" t="str">
        <f>VLOOKUP($A17,VLKP!$B$2:$H$40, 3, 0)</f>
        <v>Commerce</v>
      </c>
      <c r="D17">
        <f>VLOOKUP($A17,VLKP!$B$2:$H$40, 4, 0)</f>
        <v>35</v>
      </c>
      <c r="E17">
        <f>VLOOKUP($A17,VLKP!$B$2:$H$40, 5, 0)</f>
        <v>90</v>
      </c>
      <c r="F17" t="str">
        <f>VLOOKUP($A17,VLKP!$B$2:$H$40, 6, 0)</f>
        <v>M</v>
      </c>
      <c r="G17">
        <f>VLOOKUP($A17,VLKP!$B$2:$H$40, 7, 0)</f>
        <v>22</v>
      </c>
    </row>
    <row r="18" spans="1:7" ht="21" x14ac:dyDescent="0.5">
      <c r="A18" s="3" t="s">
        <v>41</v>
      </c>
      <c r="B18" t="str">
        <f>VLOOKUP($A18,VLKP!$B$2:$H$40, 2, 0)</f>
        <v>Raja</v>
      </c>
      <c r="C18" t="str">
        <f>VLOOKUP($A18,VLKP!$B$2:$H$40, 3, 0)</f>
        <v>Science</v>
      </c>
      <c r="D18">
        <f>VLOOKUP($A18,VLKP!$B$2:$H$40, 4, 0)</f>
        <v>55</v>
      </c>
      <c r="E18">
        <f>VLOOKUP($A18,VLKP!$B$2:$H$40, 5, 0)</f>
        <v>96</v>
      </c>
      <c r="F18" t="str">
        <f>VLOOKUP($A18,VLKP!$B$2:$H$40, 6, 0)</f>
        <v>M</v>
      </c>
      <c r="G18">
        <f>VLOOKUP($A18,VLKP!$B$2:$H$40, 7, 0)</f>
        <v>24</v>
      </c>
    </row>
    <row r="19" spans="1:7" ht="21" x14ac:dyDescent="0.5">
      <c r="A19" s="5" t="s">
        <v>43</v>
      </c>
      <c r="B19" t="str">
        <f>VLOOKUP($A19,VLKP!$B$2:$H$40, 2, 0)</f>
        <v>Kumar</v>
      </c>
      <c r="C19" t="str">
        <f>VLOOKUP($A19,VLKP!$B$2:$H$40, 3, 0)</f>
        <v>Arts</v>
      </c>
      <c r="D19">
        <f>VLOOKUP($A19,VLKP!$B$2:$H$40, 4, 0)</f>
        <v>74</v>
      </c>
      <c r="E19">
        <f>VLOOKUP($A19,VLKP!$B$2:$H$40, 5, 0)</f>
        <v>71</v>
      </c>
      <c r="F19" t="str">
        <f>VLOOKUP($A19,VLKP!$B$2:$H$40, 6, 0)</f>
        <v>M</v>
      </c>
      <c r="G19">
        <f>VLOOKUP($A19,VLKP!$B$2:$H$40, 7, 0)</f>
        <v>23</v>
      </c>
    </row>
    <row r="20" spans="1:7" ht="21" x14ac:dyDescent="0.5">
      <c r="A20" s="3" t="s">
        <v>45</v>
      </c>
      <c r="B20" t="str">
        <f>VLOOKUP($A20,VLKP!$B$2:$H$40, 2, 0)</f>
        <v>Devi</v>
      </c>
      <c r="C20" t="str">
        <f>VLOOKUP($A20,VLKP!$B$2:$H$40, 3, 0)</f>
        <v>Science</v>
      </c>
      <c r="D20">
        <f>VLOOKUP($A20,VLKP!$B$2:$H$40, 4, 0)</f>
        <v>36</v>
      </c>
      <c r="E20">
        <f>VLOOKUP($A20,VLKP!$B$2:$H$40, 5, 0)</f>
        <v>62</v>
      </c>
      <c r="F20" t="str">
        <f>VLOOKUP($A20,VLKP!$B$2:$H$40, 6, 0)</f>
        <v>F</v>
      </c>
      <c r="G20">
        <f>VLOOKUP($A20,VLKP!$B$2:$H$40, 7, 0)</f>
        <v>21</v>
      </c>
    </row>
    <row r="21" spans="1:7" ht="21" x14ac:dyDescent="0.5">
      <c r="A21" s="5" t="s">
        <v>47</v>
      </c>
      <c r="B21" t="str">
        <f>VLOOKUP($A21,VLKP!$B$2:$H$40, 2, 0)</f>
        <v>Arasu</v>
      </c>
      <c r="C21" t="str">
        <f>VLOOKUP($A21,VLKP!$B$2:$H$40, 3, 0)</f>
        <v>Commerce</v>
      </c>
      <c r="D21">
        <f>VLOOKUP($A21,VLKP!$B$2:$H$40, 4, 0)</f>
        <v>53</v>
      </c>
      <c r="E21">
        <f>VLOOKUP($A21,VLKP!$B$2:$H$40, 5, 0)</f>
        <v>100</v>
      </c>
      <c r="F21" t="str">
        <f>VLOOKUP($A21,VLKP!$B$2:$H$40, 6, 0)</f>
        <v>M</v>
      </c>
      <c r="G21">
        <f>VLOOKUP($A21,VLKP!$B$2:$H$40, 7, 0)</f>
        <v>25</v>
      </c>
    </row>
    <row r="22" spans="1:7" ht="21" x14ac:dyDescent="0.5">
      <c r="A22" s="3" t="s">
        <v>41</v>
      </c>
      <c r="B22" t="str">
        <f>VLOOKUP($A22,VLKP!$B$2:$H$40, 2, 0)</f>
        <v>Raja</v>
      </c>
      <c r="C22" t="str">
        <f>VLOOKUP($A22,VLKP!$B$2:$H$40, 3, 0)</f>
        <v>Science</v>
      </c>
      <c r="D22">
        <f>VLOOKUP($A22,VLKP!$B$2:$H$40, 4, 0)</f>
        <v>55</v>
      </c>
      <c r="E22">
        <f>VLOOKUP($A22,VLKP!$B$2:$H$40, 5, 0)</f>
        <v>96</v>
      </c>
      <c r="F22" t="str">
        <f>VLOOKUP($A22,VLKP!$B$2:$H$40, 6, 0)</f>
        <v>M</v>
      </c>
      <c r="G22">
        <f>VLOOKUP($A22,VLKP!$B$2:$H$40, 7, 0)</f>
        <v>24</v>
      </c>
    </row>
    <row r="23" spans="1:7" ht="21" x14ac:dyDescent="0.5">
      <c r="A23" s="5" t="s">
        <v>49</v>
      </c>
      <c r="B23" t="str">
        <f>VLOOKUP($A23,VLKP!$B$2:$H$40, 2, 0)</f>
        <v>Bala</v>
      </c>
      <c r="C23" t="str">
        <f>VLOOKUP($A23,VLKP!$B$2:$H$40, 3, 0)</f>
        <v>Science</v>
      </c>
      <c r="D23">
        <f>VLOOKUP($A23,VLKP!$B$2:$H$40, 4, 0)</f>
        <v>80</v>
      </c>
      <c r="E23">
        <f>VLOOKUP($A23,VLKP!$B$2:$H$40, 5, 0)</f>
        <v>67</v>
      </c>
      <c r="F23" t="str">
        <f>VLOOKUP($A23,VLKP!$B$2:$H$40, 6, 0)</f>
        <v>M</v>
      </c>
      <c r="G23">
        <f>VLOOKUP($A23,VLKP!$B$2:$H$40, 7, 0)</f>
        <v>26</v>
      </c>
    </row>
    <row r="24" spans="1:7" ht="21" x14ac:dyDescent="0.5">
      <c r="A24" s="3" t="s">
        <v>51</v>
      </c>
      <c r="B24" t="str">
        <f>VLOOKUP($A24,VLKP!$B$2:$H$40, 2, 0)</f>
        <v>Gokul</v>
      </c>
      <c r="C24" t="str">
        <f>VLOOKUP($A24,VLKP!$B$2:$H$40, 3, 0)</f>
        <v>Arts</v>
      </c>
      <c r="D24">
        <f>VLOOKUP($A24,VLKP!$B$2:$H$40, 4, 0)</f>
        <v>62</v>
      </c>
      <c r="E24">
        <f>VLOOKUP($A24,VLKP!$B$2:$H$40, 5, 0)</f>
        <v>83</v>
      </c>
      <c r="F24" t="str">
        <f>VLOOKUP($A24,VLKP!$B$2:$H$40, 6, 0)</f>
        <v>M</v>
      </c>
      <c r="G24">
        <f>VLOOKUP($A24,VLKP!$B$2:$H$40, 7, 0)</f>
        <v>23</v>
      </c>
    </row>
    <row r="25" spans="1:7" ht="21" x14ac:dyDescent="0.5">
      <c r="A25" s="5" t="s">
        <v>53</v>
      </c>
      <c r="B25" t="str">
        <f>VLOOKUP($A25,VLKP!$B$2:$H$40, 2, 0)</f>
        <v>Divya</v>
      </c>
      <c r="C25" t="str">
        <f>VLOOKUP($A25,VLKP!$B$2:$H$40, 3, 0)</f>
        <v>Arts</v>
      </c>
      <c r="D25">
        <f>VLOOKUP($A25,VLKP!$B$2:$H$40, 4, 0)</f>
        <v>98</v>
      </c>
      <c r="E25">
        <f>VLOOKUP($A25,VLKP!$B$2:$H$40, 5, 0)</f>
        <v>92</v>
      </c>
      <c r="F25" t="str">
        <f>VLOOKUP($A25,VLKP!$B$2:$H$40, 6, 0)</f>
        <v>F</v>
      </c>
      <c r="G25">
        <f>VLOOKUP($A25,VLKP!$B$2:$H$40, 7, 0)</f>
        <v>24</v>
      </c>
    </row>
    <row r="26" spans="1:7" ht="21" x14ac:dyDescent="0.5">
      <c r="A26" s="3" t="s">
        <v>55</v>
      </c>
      <c r="B26" t="str">
        <f>VLOOKUP($A26,VLKP!$B$2:$H$40, 2, 0)</f>
        <v>Yamuna</v>
      </c>
      <c r="C26" t="str">
        <f>VLOOKUP($A26,VLKP!$B$2:$H$40, 3, 0)</f>
        <v>Arts</v>
      </c>
      <c r="D26">
        <f>VLOOKUP($A26,VLKP!$B$2:$H$40, 4, 0)</f>
        <v>41</v>
      </c>
      <c r="E26">
        <f>VLOOKUP($A26,VLKP!$B$2:$H$40, 5, 0)</f>
        <v>62</v>
      </c>
      <c r="F26" t="str">
        <f>VLOOKUP($A26,VLKP!$B$2:$H$40, 6, 0)</f>
        <v>F</v>
      </c>
      <c r="G26">
        <f>VLOOKUP($A26,VLKP!$B$2:$H$40, 7, 0)</f>
        <v>28</v>
      </c>
    </row>
    <row r="27" spans="1:7" ht="21" x14ac:dyDescent="0.5">
      <c r="A27" s="5" t="s">
        <v>57</v>
      </c>
      <c r="B27" t="str">
        <f>VLOOKUP($A27,VLKP!$B$2:$H$40, 2, 0)</f>
        <v>Nila</v>
      </c>
      <c r="C27" t="str">
        <f>VLOOKUP($A27,VLKP!$B$2:$H$40, 3, 0)</f>
        <v>Science</v>
      </c>
      <c r="D27">
        <f>VLOOKUP($A27,VLKP!$B$2:$H$40, 4, 0)</f>
        <v>37</v>
      </c>
      <c r="E27">
        <f>VLOOKUP($A27,VLKP!$B$2:$H$40, 5, 0)</f>
        <v>73</v>
      </c>
      <c r="F27" t="str">
        <f>VLOOKUP($A27,VLKP!$B$2:$H$40, 6, 0)</f>
        <v>F</v>
      </c>
      <c r="G27">
        <f>VLOOKUP($A27,VLKP!$B$2:$H$40, 7, 0)</f>
        <v>25</v>
      </c>
    </row>
    <row r="28" spans="1:7" ht="21" x14ac:dyDescent="0.5">
      <c r="A28" s="3" t="s">
        <v>59</v>
      </c>
      <c r="B28" t="str">
        <f>VLOOKUP($A28,VLKP!$B$2:$H$40, 2, 0)</f>
        <v>Ramu</v>
      </c>
      <c r="C28" t="str">
        <f>VLOOKUP($A28,VLKP!$B$2:$H$40, 3, 0)</f>
        <v>Commerce</v>
      </c>
      <c r="D28">
        <f>VLOOKUP($A28,VLKP!$B$2:$H$40, 4, 0)</f>
        <v>76</v>
      </c>
      <c r="E28">
        <f>VLOOKUP($A28,VLKP!$B$2:$H$40, 5, 0)</f>
        <v>80</v>
      </c>
      <c r="F28" t="str">
        <f>VLOOKUP($A28,VLKP!$B$2:$H$40, 6, 0)</f>
        <v>M</v>
      </c>
      <c r="G28">
        <f>VLOOKUP($A28,VLKP!$B$2:$H$40, 7, 0)</f>
        <v>27</v>
      </c>
    </row>
    <row r="29" spans="1:7" ht="21" x14ac:dyDescent="0.5">
      <c r="A29" s="5" t="s">
        <v>41</v>
      </c>
      <c r="B29" t="str">
        <f>VLOOKUP($A29,VLKP!$B$2:$H$40, 2, 0)</f>
        <v>Raja</v>
      </c>
      <c r="C29" t="str">
        <f>VLOOKUP($A29,VLKP!$B$2:$H$40, 3, 0)</f>
        <v>Science</v>
      </c>
      <c r="D29">
        <f>VLOOKUP($A29,VLKP!$B$2:$H$40, 4, 0)</f>
        <v>55</v>
      </c>
      <c r="E29">
        <f>VLOOKUP($A29,VLKP!$B$2:$H$40, 5, 0)</f>
        <v>96</v>
      </c>
      <c r="F29" t="str">
        <f>VLOOKUP($A29,VLKP!$B$2:$H$40, 6, 0)</f>
        <v>M</v>
      </c>
      <c r="G29">
        <f>VLOOKUP($A29,VLKP!$B$2:$H$40, 7, 0)</f>
        <v>24</v>
      </c>
    </row>
    <row r="30" spans="1:7" ht="21" x14ac:dyDescent="0.5">
      <c r="A30" s="3" t="s">
        <v>61</v>
      </c>
      <c r="B30" t="str">
        <f>VLOOKUP($A30,VLKP!$B$2:$H$40, 2, 0)</f>
        <v>Banu</v>
      </c>
      <c r="C30" t="str">
        <f>VLOOKUP($A30,VLKP!$B$2:$H$40, 3, 0)</f>
        <v>Commerce</v>
      </c>
      <c r="D30">
        <f>VLOOKUP($A30,VLKP!$B$2:$H$40, 4, 0)</f>
        <v>71</v>
      </c>
      <c r="E30">
        <f>VLOOKUP($A30,VLKP!$B$2:$H$40, 5, 0)</f>
        <v>84</v>
      </c>
      <c r="F30" t="str">
        <f>VLOOKUP($A30,VLKP!$B$2:$H$40, 6, 0)</f>
        <v>F</v>
      </c>
      <c r="G30">
        <f>VLOOKUP($A30,VLKP!$B$2:$H$40, 7, 0)</f>
        <v>26</v>
      </c>
    </row>
    <row r="31" spans="1:7" ht="21" x14ac:dyDescent="0.5">
      <c r="A31" s="5" t="s">
        <v>63</v>
      </c>
      <c r="B31" t="str">
        <f>VLOOKUP($A31,VLKP!$B$2:$H$40, 2, 0)</f>
        <v>Kani</v>
      </c>
      <c r="C31" t="str">
        <f>VLOOKUP($A31,VLKP!$B$2:$H$40, 3, 0)</f>
        <v>Commerce</v>
      </c>
      <c r="D31">
        <f>VLOOKUP($A31,VLKP!$B$2:$H$40, 4, 0)</f>
        <v>53</v>
      </c>
      <c r="E31">
        <f>VLOOKUP($A31,VLKP!$B$2:$H$40, 5, 0)</f>
        <v>65</v>
      </c>
      <c r="F31" t="str">
        <f>VLOOKUP($A31,VLKP!$B$2:$H$40, 6, 0)</f>
        <v>M</v>
      </c>
      <c r="G31">
        <f>VLOOKUP($A31,VLKP!$B$2:$H$40, 7, 0)</f>
        <v>23</v>
      </c>
    </row>
    <row r="32" spans="1:7" ht="21" x14ac:dyDescent="0.5">
      <c r="A32" s="3" t="s">
        <v>65</v>
      </c>
      <c r="B32" t="str">
        <f>VLOOKUP($A32,VLKP!$B$2:$H$40, 2, 0)</f>
        <v>Selvam</v>
      </c>
      <c r="C32" t="str">
        <f>VLOOKUP($A32,VLKP!$B$2:$H$40, 3, 0)</f>
        <v>Arts</v>
      </c>
      <c r="D32">
        <f>VLOOKUP($A32,VLKP!$B$2:$H$40, 4, 0)</f>
        <v>54</v>
      </c>
      <c r="E32">
        <f>VLOOKUP($A32,VLKP!$B$2:$H$40, 5, 0)</f>
        <v>99</v>
      </c>
      <c r="F32" t="str">
        <f>VLOOKUP($A32,VLKP!$B$2:$H$40, 6, 0)</f>
        <v>M</v>
      </c>
      <c r="G32">
        <f>VLOOKUP($A32,VLKP!$B$2:$H$40, 7, 0)</f>
        <v>28</v>
      </c>
    </row>
    <row r="33" spans="1:7" ht="21" x14ac:dyDescent="0.5">
      <c r="A33" s="5" t="s">
        <v>59</v>
      </c>
      <c r="B33" t="str">
        <f>VLOOKUP($A33,VLKP!$B$2:$H$40, 2, 0)</f>
        <v>Ramu</v>
      </c>
      <c r="C33" t="str">
        <f>VLOOKUP($A33,VLKP!$B$2:$H$40, 3, 0)</f>
        <v>Commerce</v>
      </c>
      <c r="D33">
        <f>VLOOKUP($A33,VLKP!$B$2:$H$40, 4, 0)</f>
        <v>76</v>
      </c>
      <c r="E33">
        <f>VLOOKUP($A33,VLKP!$B$2:$H$40, 5, 0)</f>
        <v>80</v>
      </c>
      <c r="F33" t="str">
        <f>VLOOKUP($A33,VLKP!$B$2:$H$40, 6, 0)</f>
        <v>M</v>
      </c>
      <c r="G33">
        <f>VLOOKUP($A33,VLKP!$B$2:$H$40, 7, 0)</f>
        <v>27</v>
      </c>
    </row>
    <row r="34" spans="1:7" ht="21" x14ac:dyDescent="0.5">
      <c r="A34" s="3" t="s">
        <v>68</v>
      </c>
      <c r="B34" t="str">
        <f>VLOOKUP($A34,VLKP!$B$2:$H$40, 2, 0)</f>
        <v>Devi</v>
      </c>
      <c r="C34" t="str">
        <f>VLOOKUP($A34,VLKP!$B$2:$H$40, 3, 0)</f>
        <v>Science</v>
      </c>
      <c r="D34">
        <f>VLOOKUP($A34,VLKP!$B$2:$H$40, 4, 0)</f>
        <v>90</v>
      </c>
      <c r="E34">
        <f>VLOOKUP($A34,VLKP!$B$2:$H$40, 5, 0)</f>
        <v>66</v>
      </c>
      <c r="F34" t="str">
        <f>VLOOKUP($A34,VLKP!$B$2:$H$40, 6, 0)</f>
        <v>F</v>
      </c>
      <c r="G34">
        <f>VLOOKUP($A34,VLKP!$B$2:$H$40, 7, 0)</f>
        <v>22</v>
      </c>
    </row>
    <row r="35" spans="1:7" ht="21" x14ac:dyDescent="0.5">
      <c r="A35" s="5" t="s">
        <v>70</v>
      </c>
      <c r="B35" t="str">
        <f>VLOOKUP($A35,VLKP!$B$2:$H$40, 2, 0)</f>
        <v>Nithya</v>
      </c>
      <c r="C35" t="str">
        <f>VLOOKUP($A35,VLKP!$B$2:$H$40, 3, 0)</f>
        <v>Arts</v>
      </c>
      <c r="D35">
        <f>VLOOKUP($A35,VLKP!$B$2:$H$40, 4, 0)</f>
        <v>80</v>
      </c>
      <c r="E35">
        <f>VLOOKUP($A35,VLKP!$B$2:$H$40, 5, 0)</f>
        <v>91</v>
      </c>
      <c r="F35" t="str">
        <f>VLOOKUP($A35,VLKP!$B$2:$H$40, 6, 0)</f>
        <v>F</v>
      </c>
      <c r="G35">
        <f>VLOOKUP($A35,VLKP!$B$2:$H$40, 7, 0)</f>
        <v>29</v>
      </c>
    </row>
    <row r="36" spans="1:7" ht="21" x14ac:dyDescent="0.5">
      <c r="A36" s="3" t="s">
        <v>72</v>
      </c>
      <c r="B36" t="str">
        <f>VLOOKUP($A36,VLKP!$B$2:$H$40, 2, 0)</f>
        <v>Uma</v>
      </c>
      <c r="C36" t="str">
        <f>VLOOKUP($A36,VLKP!$B$2:$H$40, 3, 0)</f>
        <v>Science</v>
      </c>
      <c r="D36">
        <f>VLOOKUP($A36,VLKP!$B$2:$H$40, 4, 0)</f>
        <v>57</v>
      </c>
      <c r="E36">
        <f>VLOOKUP($A36,VLKP!$B$2:$H$40, 5, 0)</f>
        <v>72</v>
      </c>
      <c r="F36" t="str">
        <f>VLOOKUP($A36,VLKP!$B$2:$H$40, 6, 0)</f>
        <v>F</v>
      </c>
      <c r="G36">
        <f>VLOOKUP($A36,VLKP!$B$2:$H$40, 7, 0)</f>
        <v>23</v>
      </c>
    </row>
    <row r="37" spans="1:7" ht="21" x14ac:dyDescent="0.5">
      <c r="A37" s="5" t="s">
        <v>74</v>
      </c>
      <c r="B37" t="str">
        <f>VLOOKUP($A37,VLKP!$B$2:$H$40, 2, 0)</f>
        <v>Guru</v>
      </c>
      <c r="C37" t="str">
        <f>VLOOKUP($A37,VLKP!$B$2:$H$40, 3, 0)</f>
        <v>Science</v>
      </c>
      <c r="D37">
        <f>VLOOKUP($A37,VLKP!$B$2:$H$40, 4, 0)</f>
        <v>92</v>
      </c>
      <c r="E37">
        <f>VLOOKUP($A37,VLKP!$B$2:$H$40, 5, 0)</f>
        <v>87</v>
      </c>
      <c r="F37" t="str">
        <f>VLOOKUP($A37,VLKP!$B$2:$H$40, 6, 0)</f>
        <v>M</v>
      </c>
      <c r="G37">
        <f>VLOOKUP($A37,VLKP!$B$2:$H$40, 7, 0)</f>
        <v>25</v>
      </c>
    </row>
    <row r="38" spans="1:7" ht="21" x14ac:dyDescent="0.5">
      <c r="A38" s="3" t="s">
        <v>76</v>
      </c>
      <c r="B38" t="str">
        <f>VLOOKUP($A38,VLKP!$B$2:$H$40, 2, 0)</f>
        <v>Vignesh</v>
      </c>
      <c r="C38" t="str">
        <f>VLOOKUP($A38,VLKP!$B$2:$H$40, 3, 0)</f>
        <v>Arts</v>
      </c>
      <c r="D38">
        <f>VLOOKUP($A38,VLKP!$B$2:$H$40, 4, 0)</f>
        <v>52</v>
      </c>
      <c r="E38">
        <f>VLOOKUP($A38,VLKP!$B$2:$H$40, 5, 0)</f>
        <v>84</v>
      </c>
      <c r="F38" t="str">
        <f>VLOOKUP($A38,VLKP!$B$2:$H$40, 6, 0)</f>
        <v>M</v>
      </c>
      <c r="G38">
        <f>VLOOKUP($A38,VLKP!$B$2:$H$40, 7, 0)</f>
        <v>22</v>
      </c>
    </row>
    <row r="39" spans="1:7" ht="21" x14ac:dyDescent="0.5">
      <c r="A39" s="5" t="s">
        <v>63</v>
      </c>
      <c r="B39" t="str">
        <f>VLOOKUP($A39,VLKP!$B$2:$H$40, 2, 0)</f>
        <v>Kani</v>
      </c>
      <c r="C39" t="str">
        <f>VLOOKUP($A39,VLKP!$B$2:$H$40, 3, 0)</f>
        <v>Commerce</v>
      </c>
      <c r="D39">
        <f>VLOOKUP($A39,VLKP!$B$2:$H$40, 4, 0)</f>
        <v>53</v>
      </c>
      <c r="E39">
        <f>VLOOKUP($A39,VLKP!$B$2:$H$40, 5, 0)</f>
        <v>65</v>
      </c>
      <c r="F39" t="str">
        <f>VLOOKUP($A39,VLKP!$B$2:$H$40, 6, 0)</f>
        <v>M</v>
      </c>
      <c r="G39">
        <f>VLOOKUP($A39,VLKP!$B$2:$H$40, 7, 0)</f>
        <v>23</v>
      </c>
    </row>
    <row r="40" spans="1:7" ht="21" x14ac:dyDescent="0.5">
      <c r="A40" s="2" t="s">
        <v>79</v>
      </c>
      <c r="B40" t="str">
        <f>VLOOKUP($A40,VLKP!$B$2:$H$40, 2, 0)</f>
        <v>Prakash</v>
      </c>
      <c r="C40" t="str">
        <f>VLOOKUP($A40,VLKP!$B$2:$H$40, 3, 0)</f>
        <v>Commerce</v>
      </c>
      <c r="D40">
        <f>VLOOKUP($A40,VLKP!$B$2:$H$40, 4, 0)</f>
        <v>97</v>
      </c>
      <c r="E40">
        <f>VLOOKUP($A40,VLKP!$B$2:$H$40, 5, 0)</f>
        <v>88</v>
      </c>
      <c r="F40" t="str">
        <f>VLOOKUP($A40,VLKP!$B$2:$H$40, 6, 0)</f>
        <v>M</v>
      </c>
      <c r="G40">
        <f>VLOOKUP($A40,VLKP!$B$2:$H$40, 7, 0)</f>
        <v>24</v>
      </c>
    </row>
    <row r="41" spans="1:7" ht="15.5" x14ac:dyDescent="0.35">
      <c r="C41" s="11"/>
      <c r="D41" s="11"/>
      <c r="E41" s="11"/>
      <c r="F41" s="11"/>
      <c r="G41" s="11"/>
    </row>
    <row r="42" spans="1:7" ht="15.5" x14ac:dyDescent="0.35">
      <c r="C42" s="11"/>
      <c r="D42" s="11"/>
      <c r="E42" s="11"/>
      <c r="F42" s="11"/>
      <c r="G42" s="11"/>
    </row>
    <row r="43" spans="1:7" ht="15.5" x14ac:dyDescent="0.35">
      <c r="C43" s="11"/>
      <c r="D43" s="11"/>
      <c r="E43" s="11"/>
      <c r="F43" s="11"/>
      <c r="G43" s="11"/>
    </row>
    <row r="44" spans="1:7" ht="15.5" x14ac:dyDescent="0.35">
      <c r="C44" s="11"/>
      <c r="D44" s="11"/>
      <c r="E44" s="11"/>
      <c r="F44" s="11"/>
      <c r="G44" s="11"/>
    </row>
    <row r="45" spans="1:7" ht="15.5" x14ac:dyDescent="0.35">
      <c r="C45" s="11"/>
      <c r="D45" s="11"/>
      <c r="E45" s="11"/>
      <c r="F45" s="11"/>
      <c r="G45" s="11"/>
    </row>
    <row r="46" spans="1:7" ht="15.5" x14ac:dyDescent="0.35">
      <c r="C46" s="11"/>
      <c r="D46" s="11"/>
      <c r="E46" s="11"/>
      <c r="F46" s="11"/>
      <c r="G46" s="11"/>
    </row>
    <row r="47" spans="1:7" ht="15.5" x14ac:dyDescent="0.35">
      <c r="C47" s="11"/>
      <c r="D47" s="11"/>
      <c r="E47" s="11"/>
      <c r="F47" s="11"/>
      <c r="G47" s="11"/>
    </row>
    <row r="48" spans="1:7" ht="15.5" x14ac:dyDescent="0.35">
      <c r="C48" s="11"/>
      <c r="D48" s="11"/>
      <c r="E48" s="11"/>
      <c r="F48" s="11"/>
      <c r="G48" s="11"/>
    </row>
    <row r="49" spans="3:7" ht="15.5" x14ac:dyDescent="0.35">
      <c r="C49" s="11"/>
      <c r="D49" s="11"/>
      <c r="E49" s="11"/>
      <c r="F49" s="11"/>
      <c r="G49" s="11"/>
    </row>
    <row r="50" spans="3:7" ht="15.5" x14ac:dyDescent="0.35">
      <c r="C50" s="11"/>
      <c r="D50" s="11"/>
      <c r="E50" s="11"/>
      <c r="F50" s="11"/>
      <c r="G50" s="11"/>
    </row>
    <row r="51" spans="3:7" ht="15.5" x14ac:dyDescent="0.35">
      <c r="C51" s="11"/>
      <c r="D51" s="11"/>
      <c r="E51" s="11"/>
      <c r="F51" s="11"/>
      <c r="G51" s="11"/>
    </row>
    <row r="52" spans="3:7" ht="15.5" x14ac:dyDescent="0.35">
      <c r="C52" s="11"/>
      <c r="D52" s="11"/>
      <c r="E52" s="11"/>
      <c r="F52" s="11"/>
      <c r="G52" s="11"/>
    </row>
    <row r="53" spans="3:7" ht="15.5" x14ac:dyDescent="0.35">
      <c r="C53" s="11"/>
      <c r="D53" s="11"/>
      <c r="E53" s="11"/>
      <c r="F53" s="11"/>
      <c r="G53" s="11"/>
    </row>
    <row r="54" spans="3:7" ht="15.5" x14ac:dyDescent="0.35">
      <c r="C54" s="11"/>
      <c r="D54" s="11"/>
      <c r="E54" s="11"/>
      <c r="F54" s="11"/>
      <c r="G54" s="11"/>
    </row>
    <row r="55" spans="3:7" ht="15.5" x14ac:dyDescent="0.35">
      <c r="C55" s="11"/>
      <c r="D55" s="11"/>
      <c r="E55" s="11"/>
      <c r="F55" s="11"/>
      <c r="G55" s="11"/>
    </row>
    <row r="56" spans="3:7" ht="15.5" x14ac:dyDescent="0.35">
      <c r="C56" s="11"/>
      <c r="D56" s="11"/>
      <c r="E56" s="11"/>
      <c r="F56" s="11"/>
      <c r="G56" s="11"/>
    </row>
    <row r="57" spans="3:7" ht="15.5" x14ac:dyDescent="0.35">
      <c r="C57" s="11"/>
      <c r="D57" s="11"/>
      <c r="E57" s="11"/>
      <c r="F57" s="11"/>
      <c r="G57" s="11"/>
    </row>
    <row r="58" spans="3:7" ht="15.5" x14ac:dyDescent="0.35">
      <c r="C58" s="11"/>
      <c r="D58" s="11"/>
      <c r="E58" s="11"/>
      <c r="F58" s="11"/>
      <c r="G58" s="11"/>
    </row>
    <row r="59" spans="3:7" ht="15.5" x14ac:dyDescent="0.35">
      <c r="C59" s="11"/>
      <c r="D59" s="11"/>
      <c r="E59" s="11"/>
      <c r="F59" s="11"/>
      <c r="G59" s="1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56BF-B50D-449A-A41F-D298A97E0D86}">
  <dimension ref="A6:I15"/>
  <sheetViews>
    <sheetView zoomScale="130" zoomScaleNormal="130" workbookViewId="0">
      <selection activeCell="I13" sqref="I13"/>
    </sheetView>
  </sheetViews>
  <sheetFormatPr defaultRowHeight="14.5" x14ac:dyDescent="0.35"/>
  <cols>
    <col min="4" max="4" width="6.90625" bestFit="1" customWidth="1"/>
    <col min="5" max="5" width="9.90625" bestFit="1" customWidth="1"/>
    <col min="6" max="6" width="11.6328125" bestFit="1" customWidth="1"/>
    <col min="7" max="7" width="9.54296875" bestFit="1" customWidth="1"/>
    <col min="8" max="8" width="13.6328125" bestFit="1" customWidth="1"/>
  </cols>
  <sheetData>
    <row r="6" spans="1:9" ht="21" x14ac:dyDescent="0.5">
      <c r="A6">
        <v>1</v>
      </c>
      <c r="C6" s="31" t="s">
        <v>169</v>
      </c>
      <c r="D6" s="32" t="s">
        <v>6</v>
      </c>
      <c r="E6" s="32" t="s">
        <v>9</v>
      </c>
      <c r="F6" s="32" t="s">
        <v>45</v>
      </c>
      <c r="G6" s="32" t="s">
        <v>43</v>
      </c>
      <c r="H6" s="32" t="s">
        <v>172</v>
      </c>
    </row>
    <row r="7" spans="1:9" ht="21" x14ac:dyDescent="0.5">
      <c r="A7">
        <v>2</v>
      </c>
      <c r="C7" s="31" t="s">
        <v>170</v>
      </c>
      <c r="D7" s="33" t="s">
        <v>173</v>
      </c>
      <c r="E7" s="33" t="s">
        <v>173</v>
      </c>
      <c r="F7" s="33" t="s">
        <v>174</v>
      </c>
      <c r="G7" s="33" t="s">
        <v>173</v>
      </c>
      <c r="H7" s="33" t="s">
        <v>174</v>
      </c>
    </row>
    <row r="8" spans="1:9" ht="21" x14ac:dyDescent="0.5">
      <c r="A8">
        <v>3</v>
      </c>
      <c r="C8" s="31" t="s">
        <v>171</v>
      </c>
      <c r="D8" s="34">
        <v>67</v>
      </c>
      <c r="E8" s="34">
        <v>84</v>
      </c>
      <c r="F8" s="34">
        <v>92</v>
      </c>
      <c r="G8" s="34">
        <v>78</v>
      </c>
      <c r="H8" s="34">
        <v>33</v>
      </c>
    </row>
    <row r="10" spans="1:9" ht="15.5" x14ac:dyDescent="0.35">
      <c r="E10" s="11"/>
    </row>
    <row r="13" spans="1:9" x14ac:dyDescent="0.35">
      <c r="D13" t="str">
        <f>HLOOKUP(D$6, $D$6:$H$8,  2, 0)</f>
        <v>10th</v>
      </c>
      <c r="E13" t="str">
        <f>HLOOKUP(E6, $D$6:$H$8,  2, 0)</f>
        <v>10th</v>
      </c>
      <c r="F13" t="str">
        <f>HLOOKUP(F6, $D$6:$H$8,  2, 0)</f>
        <v>11th</v>
      </c>
      <c r="G13" t="str">
        <f>HLOOKUP(G6, $D$6:$H$8,  2, 0)</f>
        <v>10th</v>
      </c>
      <c r="H13" t="str">
        <f>HLOOKUP(H6, $D$6:$H$8,  2, 0)</f>
        <v>11th</v>
      </c>
    </row>
    <row r="14" spans="1:9" x14ac:dyDescent="0.35">
      <c r="D14">
        <f>HLOOKUP(D$6, $D$6:$H$8,  3, 0)</f>
        <v>67</v>
      </c>
      <c r="E14">
        <f>HLOOKUP(E$6, $D$6:$H$8,  3, 0)</f>
        <v>84</v>
      </c>
      <c r="F14">
        <f>HLOOKUP(F$6, $D$6:$H$8,  3, 0)</f>
        <v>92</v>
      </c>
      <c r="G14">
        <f>HLOOKUP(G$6, $D$6:$H$8,  3, 0)</f>
        <v>78</v>
      </c>
      <c r="H14">
        <f>HLOOKUP(H$6, $D$6:$H$8,  3, 0)</f>
        <v>33</v>
      </c>
    </row>
    <row r="15" spans="1:9" x14ac:dyDescent="0.35">
      <c r="I15" t="s">
        <v>255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ED52C-D7BE-4AA6-8F56-CB99D514E749}">
  <dimension ref="A1:M48"/>
  <sheetViews>
    <sheetView topLeftCell="A10" workbookViewId="0">
      <selection activeCell="F19" sqref="F19"/>
    </sheetView>
  </sheetViews>
  <sheetFormatPr defaultColWidth="23.1796875" defaultRowHeight="21" x14ac:dyDescent="0.5"/>
  <cols>
    <col min="1" max="1" width="23.1796875" style="1"/>
    <col min="2" max="2" width="25.36328125" style="1" bestFit="1" customWidth="1"/>
    <col min="3" max="3" width="23.1796875" style="1"/>
    <col min="4" max="5" width="23.453125" style="1" bestFit="1" customWidth="1"/>
    <col min="6" max="6" width="23.1796875" style="1"/>
    <col min="7" max="7" width="22.36328125" style="1" customWidth="1"/>
    <col min="8" max="16384" width="23.1796875" style="1"/>
  </cols>
  <sheetData>
    <row r="1" spans="1:13" ht="21.5" thickBot="1" x14ac:dyDescent="0.55000000000000004">
      <c r="A1" s="76" t="s">
        <v>148</v>
      </c>
      <c r="B1" s="76"/>
      <c r="C1" s="12"/>
      <c r="D1" s="76" t="s">
        <v>149</v>
      </c>
      <c r="E1" s="76"/>
      <c r="L1" s="12"/>
      <c r="M1" s="12"/>
    </row>
    <row r="2" spans="1:13" ht="21.5" thickTop="1" x14ac:dyDescent="0.5">
      <c r="A2" s="13" t="s">
        <v>150</v>
      </c>
      <c r="B2" s="14">
        <f ca="1">TODAY()</f>
        <v>46133</v>
      </c>
      <c r="C2" s="12"/>
      <c r="D2" s="13" t="s">
        <v>151</v>
      </c>
      <c r="E2" s="15">
        <f ca="1">NOW()</f>
        <v>46133.895958217596</v>
      </c>
      <c r="L2" s="12"/>
      <c r="M2" s="12"/>
    </row>
    <row r="3" spans="1:13" x14ac:dyDescent="0.5">
      <c r="A3" s="12"/>
      <c r="B3" s="24"/>
      <c r="C3" s="12"/>
      <c r="D3" s="12"/>
      <c r="E3" s="12"/>
      <c r="L3" s="12"/>
      <c r="M3" s="16"/>
    </row>
    <row r="4" spans="1:13" ht="21.5" thickBot="1" x14ac:dyDescent="0.55000000000000004">
      <c r="A4" s="76" t="s">
        <v>152</v>
      </c>
      <c r="B4" s="76"/>
      <c r="C4" s="12"/>
      <c r="D4" s="76" t="s">
        <v>153</v>
      </c>
      <c r="E4" s="76"/>
      <c r="L4" s="12"/>
      <c r="M4" s="16"/>
    </row>
    <row r="5" spans="1:13" ht="21.5" thickTop="1" x14ac:dyDescent="0.5">
      <c r="A5" s="17">
        <v>44180</v>
      </c>
      <c r="B5" s="18">
        <f>DAY(A5)</f>
        <v>15</v>
      </c>
      <c r="C5" s="18"/>
      <c r="D5" s="17">
        <v>44180</v>
      </c>
      <c r="E5" s="18">
        <f>MONTH(D5)</f>
        <v>12</v>
      </c>
      <c r="L5" s="12"/>
      <c r="M5" s="16"/>
    </row>
    <row r="6" spans="1:13" x14ac:dyDescent="0.5">
      <c r="A6" s="17">
        <v>34939</v>
      </c>
      <c r="B6" s="18">
        <f>DAY(A6)</f>
        <v>28</v>
      </c>
      <c r="C6" s="18"/>
      <c r="D6" s="17">
        <v>34939</v>
      </c>
      <c r="E6" s="18">
        <f>MONTH(D6)</f>
        <v>8</v>
      </c>
      <c r="L6" s="12"/>
      <c r="M6" s="16"/>
    </row>
    <row r="7" spans="1:13" x14ac:dyDescent="0.5">
      <c r="A7" s="17">
        <v>44494</v>
      </c>
      <c r="B7" s="18">
        <f>DAY(A7)</f>
        <v>25</v>
      </c>
      <c r="C7" s="18"/>
      <c r="D7" s="17">
        <v>44494</v>
      </c>
      <c r="E7" s="18">
        <f>MONTH(D7)</f>
        <v>10</v>
      </c>
      <c r="L7" s="12"/>
      <c r="M7" s="16"/>
    </row>
    <row r="8" spans="1:13" x14ac:dyDescent="0.5">
      <c r="A8" s="12"/>
      <c r="B8" s="12"/>
      <c r="C8" s="12"/>
      <c r="D8" s="12"/>
      <c r="E8" s="12"/>
      <c r="L8" s="12"/>
      <c r="M8" s="16"/>
    </row>
    <row r="9" spans="1:13" ht="21.5" thickBot="1" x14ac:dyDescent="0.55000000000000004">
      <c r="A9" s="76" t="s">
        <v>154</v>
      </c>
      <c r="B9" s="76"/>
      <c r="C9" s="12"/>
      <c r="D9" s="76" t="s">
        <v>155</v>
      </c>
      <c r="E9" s="76"/>
      <c r="L9" s="12"/>
      <c r="M9" s="16"/>
    </row>
    <row r="10" spans="1:13" ht="21.5" thickTop="1" x14ac:dyDescent="0.5">
      <c r="A10" s="17">
        <v>44180</v>
      </c>
      <c r="B10" s="18">
        <f>YEAR(A10)</f>
        <v>2020</v>
      </c>
      <c r="C10" s="18"/>
      <c r="D10" s="19">
        <v>34939.354166666664</v>
      </c>
      <c r="E10" s="18">
        <f>HOUR(D10)</f>
        <v>8</v>
      </c>
      <c r="L10" s="12"/>
      <c r="M10" s="16"/>
    </row>
    <row r="11" spans="1:13" x14ac:dyDescent="0.5">
      <c r="A11" s="17">
        <v>34939</v>
      </c>
      <c r="B11" s="18">
        <f>YEAR(A11)</f>
        <v>1995</v>
      </c>
      <c r="C11" s="18"/>
      <c r="D11" s="19">
        <v>34940.784722222219</v>
      </c>
      <c r="E11" s="18">
        <f>HOUR(D11)</f>
        <v>18</v>
      </c>
      <c r="L11" s="12"/>
      <c r="M11" s="16"/>
    </row>
    <row r="12" spans="1:13" x14ac:dyDescent="0.5">
      <c r="A12" s="17">
        <v>44494</v>
      </c>
      <c r="B12" s="18">
        <f>YEAR(A12)</f>
        <v>2021</v>
      </c>
      <c r="C12" s="18"/>
      <c r="D12" s="19">
        <v>34941.961805555555</v>
      </c>
      <c r="E12" s="18">
        <f>HOUR(D12)</f>
        <v>23</v>
      </c>
      <c r="L12" s="12"/>
      <c r="M12" s="16"/>
    </row>
    <row r="13" spans="1:13" x14ac:dyDescent="0.5">
      <c r="A13" s="12"/>
      <c r="B13" s="12"/>
      <c r="C13" s="12"/>
      <c r="D13" s="12"/>
      <c r="E13" s="12"/>
      <c r="L13" s="12"/>
      <c r="M13" s="16"/>
    </row>
    <row r="14" spans="1:13" ht="21.5" thickBot="1" x14ac:dyDescent="0.55000000000000004">
      <c r="A14" s="76" t="s">
        <v>156</v>
      </c>
      <c r="B14" s="76"/>
      <c r="C14" s="12"/>
      <c r="D14" s="76" t="s">
        <v>157</v>
      </c>
      <c r="E14" s="76"/>
      <c r="L14" s="12"/>
      <c r="M14" s="16"/>
    </row>
    <row r="15" spans="1:13" ht="21.5" thickTop="1" x14ac:dyDescent="0.5">
      <c r="A15" s="19">
        <v>34939.354166666664</v>
      </c>
      <c r="B15" s="18">
        <f>MINUTE(A15)</f>
        <v>30</v>
      </c>
      <c r="C15" s="18"/>
      <c r="D15" s="20">
        <v>44424.983500000002</v>
      </c>
      <c r="E15" s="18">
        <f>SECOND(D15)</f>
        <v>14</v>
      </c>
      <c r="L15" s="12"/>
      <c r="M15" s="12"/>
    </row>
    <row r="16" spans="1:13" x14ac:dyDescent="0.5">
      <c r="A16" s="19">
        <v>34940.784722222219</v>
      </c>
      <c r="B16" s="18">
        <f>MINUTE(A16)</f>
        <v>50</v>
      </c>
      <c r="C16" s="18"/>
      <c r="D16" s="20">
        <v>0.2782175925925926</v>
      </c>
      <c r="E16" s="18">
        <f>SECOND(D16)</f>
        <v>38</v>
      </c>
      <c r="L16" s="12"/>
      <c r="M16" s="12"/>
    </row>
    <row r="17" spans="1:12" x14ac:dyDescent="0.5">
      <c r="A17" s="19">
        <v>34941.961805555555</v>
      </c>
      <c r="B17" s="18">
        <f>MINUTE(A17)</f>
        <v>5</v>
      </c>
      <c r="C17" s="18"/>
      <c r="D17" s="20">
        <v>0.52135416666666667</v>
      </c>
      <c r="E17" s="18">
        <f>SECOND(D17)</f>
        <v>45</v>
      </c>
      <c r="L17" s="12"/>
    </row>
    <row r="19" spans="1:12" ht="21.5" thickBot="1" x14ac:dyDescent="0.55000000000000004">
      <c r="A19" s="76" t="s">
        <v>158</v>
      </c>
      <c r="B19" s="76"/>
      <c r="C19" s="37"/>
      <c r="D19" s="76" t="s">
        <v>159</v>
      </c>
      <c r="E19" s="76"/>
      <c r="L19" s="12"/>
    </row>
    <row r="20" spans="1:12" ht="21.5" thickTop="1" x14ac:dyDescent="0.5">
      <c r="A20" s="21" t="s">
        <v>176</v>
      </c>
      <c r="B20" s="25">
        <f>DATEVALUE(A20)</f>
        <v>46262</v>
      </c>
      <c r="C20" s="13" t="s">
        <v>177</v>
      </c>
      <c r="D20" s="35" t="s">
        <v>165</v>
      </c>
      <c r="E20" s="26">
        <f>TIMEVALUE(D20)</f>
        <v>0.85416666666666663</v>
      </c>
      <c r="L20" s="12"/>
    </row>
    <row r="21" spans="1:12" x14ac:dyDescent="0.5">
      <c r="A21" s="21" t="s">
        <v>175</v>
      </c>
      <c r="B21" s="25" t="e">
        <f>DATEVALUE(A21)</f>
        <v>#VALUE!</v>
      </c>
      <c r="C21" s="13"/>
      <c r="D21" s="21" t="s">
        <v>166</v>
      </c>
      <c r="E21" s="26">
        <f>TIMEVALUE(D21)</f>
        <v>0.8125</v>
      </c>
      <c r="L21" s="12"/>
    </row>
    <row r="22" spans="1:12" x14ac:dyDescent="0.5">
      <c r="A22" s="21" t="s">
        <v>167</v>
      </c>
      <c r="B22" s="25">
        <f>DATEVALUE(A22)</f>
        <v>34939</v>
      </c>
      <c r="C22" s="13"/>
      <c r="D22" s="21" t="s">
        <v>168</v>
      </c>
      <c r="E22" s="26">
        <f>TIMEVALUE(D22)</f>
        <v>0.10416666666666667</v>
      </c>
      <c r="L22" s="12"/>
    </row>
    <row r="23" spans="1:12" x14ac:dyDescent="0.5">
      <c r="A23" s="12"/>
      <c r="B23" s="12"/>
      <c r="C23" s="12"/>
      <c r="D23" s="12"/>
      <c r="E23" s="12"/>
      <c r="L23" s="12"/>
    </row>
    <row r="24" spans="1:12" ht="21.5" thickBot="1" x14ac:dyDescent="0.55000000000000004">
      <c r="A24" s="76" t="s">
        <v>160</v>
      </c>
      <c r="B24" s="76"/>
      <c r="C24" s="12"/>
      <c r="D24" s="76" t="s">
        <v>161</v>
      </c>
      <c r="E24" s="76"/>
      <c r="L24" s="12"/>
    </row>
    <row r="25" spans="1:12" ht="21.5" thickTop="1" x14ac:dyDescent="0.5">
      <c r="A25" s="17">
        <v>34939</v>
      </c>
      <c r="B25" s="27">
        <f>EDATE(A25,1)</f>
        <v>34970</v>
      </c>
      <c r="C25" s="17"/>
      <c r="D25" s="17">
        <v>34939</v>
      </c>
      <c r="E25" s="25">
        <f>EOMONTH(D25,2)</f>
        <v>35003</v>
      </c>
      <c r="G25" s="36"/>
      <c r="L25" s="14"/>
    </row>
    <row r="26" spans="1:12" x14ac:dyDescent="0.5">
      <c r="A26" s="17">
        <v>43997</v>
      </c>
      <c r="B26" s="27">
        <f>EDATE(A26,10)</f>
        <v>44301</v>
      </c>
      <c r="C26" s="17"/>
      <c r="D26" s="17">
        <v>43997</v>
      </c>
      <c r="E26" s="25">
        <f>EOMONTH(D26,13)</f>
        <v>44408</v>
      </c>
      <c r="L26" s="14"/>
    </row>
    <row r="27" spans="1:12" x14ac:dyDescent="0.5">
      <c r="A27" s="17">
        <v>44190</v>
      </c>
      <c r="B27" s="27">
        <f>EDATE(A27,-10)</f>
        <v>43886</v>
      </c>
      <c r="C27" s="17"/>
      <c r="D27" s="17">
        <v>44190</v>
      </c>
      <c r="E27" s="25">
        <f>EOMONTH(D27,-2)</f>
        <v>44135</v>
      </c>
      <c r="L27" s="14"/>
    </row>
    <row r="28" spans="1:12" x14ac:dyDescent="0.5">
      <c r="A28" s="12"/>
      <c r="B28" s="12"/>
      <c r="C28" s="12"/>
      <c r="D28" s="12"/>
      <c r="E28" s="12"/>
      <c r="L28" s="12"/>
    </row>
    <row r="29" spans="1:12" ht="21.5" thickBot="1" x14ac:dyDescent="0.55000000000000004">
      <c r="A29" s="76" t="s">
        <v>162</v>
      </c>
      <c r="B29" s="76"/>
      <c r="C29" s="12"/>
      <c r="D29" s="76" t="s">
        <v>163</v>
      </c>
      <c r="E29" s="76"/>
      <c r="L29" s="12"/>
    </row>
    <row r="30" spans="1:12" ht="21.5" thickTop="1" x14ac:dyDescent="0.5">
      <c r="A30" s="13">
        <v>8</v>
      </c>
      <c r="B30" s="22">
        <f>DATE(A32,A30,A31)</f>
        <v>44071</v>
      </c>
      <c r="C30" s="12" t="s">
        <v>178</v>
      </c>
      <c r="D30" s="13">
        <v>8</v>
      </c>
      <c r="E30" s="23">
        <f>TIME(D30,D31,D32)</f>
        <v>0.35483796296296294</v>
      </c>
      <c r="L30" s="12"/>
    </row>
    <row r="31" spans="1:12" x14ac:dyDescent="0.5">
      <c r="A31" s="13">
        <v>28</v>
      </c>
      <c r="B31" s="18"/>
      <c r="C31" s="12"/>
      <c r="D31" s="13">
        <v>30</v>
      </c>
      <c r="E31" s="18"/>
      <c r="L31" s="12"/>
    </row>
    <row r="32" spans="1:12" x14ac:dyDescent="0.5">
      <c r="A32" s="13">
        <v>2020</v>
      </c>
      <c r="B32" s="18"/>
      <c r="C32" s="12"/>
      <c r="D32" s="13">
        <v>58</v>
      </c>
      <c r="E32" s="18"/>
      <c r="L32" s="12"/>
    </row>
    <row r="33" spans="1:9" x14ac:dyDescent="0.5">
      <c r="A33" s="12"/>
      <c r="B33" s="12"/>
      <c r="C33" s="12"/>
    </row>
    <row r="34" spans="1:9" ht="21.5" thickBot="1" x14ac:dyDescent="0.55000000000000004">
      <c r="A34" s="76" t="s">
        <v>164</v>
      </c>
      <c r="B34" s="76"/>
      <c r="C34" s="12"/>
    </row>
    <row r="35" spans="1:9" ht="21.5" thickTop="1" x14ac:dyDescent="0.5">
      <c r="A35" s="17">
        <v>34939</v>
      </c>
      <c r="B35" s="17">
        <v>44162</v>
      </c>
      <c r="C35" s="13"/>
    </row>
    <row r="36" spans="1:9" x14ac:dyDescent="0.5">
      <c r="A36" s="17">
        <v>41268</v>
      </c>
      <c r="B36" s="17">
        <v>44163</v>
      </c>
      <c r="C36" s="13"/>
    </row>
    <row r="37" spans="1:9" x14ac:dyDescent="0.5">
      <c r="A37" s="17">
        <v>44129</v>
      </c>
      <c r="B37" s="17">
        <v>44162</v>
      </c>
      <c r="C37" s="13"/>
    </row>
    <row r="38" spans="1:9" x14ac:dyDescent="0.5">
      <c r="G38" s="12"/>
      <c r="H38" s="12"/>
      <c r="I38" s="12"/>
    </row>
    <row r="39" spans="1:9" x14ac:dyDescent="0.5">
      <c r="G39" s="12"/>
      <c r="H39" s="12"/>
      <c r="I39" s="12"/>
    </row>
    <row r="40" spans="1:9" x14ac:dyDescent="0.5">
      <c r="G40" s="12"/>
      <c r="H40" s="12"/>
      <c r="I40" s="12"/>
    </row>
    <row r="41" spans="1:9" x14ac:dyDescent="0.5">
      <c r="G41" s="12"/>
      <c r="H41" s="12"/>
      <c r="I41" s="12"/>
    </row>
    <row r="42" spans="1:9" x14ac:dyDescent="0.5">
      <c r="G42" s="12"/>
      <c r="H42" s="12"/>
      <c r="I42" s="12"/>
    </row>
    <row r="43" spans="1:9" x14ac:dyDescent="0.5">
      <c r="G43" s="12"/>
      <c r="H43" s="12"/>
      <c r="I43" s="12"/>
    </row>
    <row r="44" spans="1:9" x14ac:dyDescent="0.5">
      <c r="G44" s="12"/>
      <c r="H44" s="12"/>
      <c r="I44" s="12"/>
    </row>
    <row r="45" spans="1:9" x14ac:dyDescent="0.5">
      <c r="G45" s="12"/>
      <c r="H45" s="12"/>
      <c r="I45" s="12"/>
    </row>
    <row r="46" spans="1:9" x14ac:dyDescent="0.5">
      <c r="G46" s="12"/>
      <c r="H46" s="12"/>
      <c r="I46" s="12"/>
    </row>
    <row r="47" spans="1:9" x14ac:dyDescent="0.5">
      <c r="G47" s="12"/>
      <c r="H47" s="12"/>
      <c r="I47" s="12"/>
    </row>
    <row r="48" spans="1:9" x14ac:dyDescent="0.5">
      <c r="G48" s="12"/>
      <c r="H48" s="12"/>
      <c r="I48" s="12"/>
    </row>
  </sheetData>
  <mergeCells count="15">
    <mergeCell ref="D29:E29"/>
    <mergeCell ref="A34:B34"/>
    <mergeCell ref="A1:B1"/>
    <mergeCell ref="D1:E1"/>
    <mergeCell ref="A4:B4"/>
    <mergeCell ref="D4:E4"/>
    <mergeCell ref="A9:B9"/>
    <mergeCell ref="D9:E9"/>
    <mergeCell ref="D14:E14"/>
    <mergeCell ref="A14:B14"/>
    <mergeCell ref="A19:B19"/>
    <mergeCell ref="D19:E19"/>
    <mergeCell ref="A24:B24"/>
    <mergeCell ref="D24:E24"/>
    <mergeCell ref="A29:B2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Dataset</vt:lpstr>
      <vt:lpstr>Dataset_Cleaning</vt:lpstr>
      <vt:lpstr>cleaned</vt:lpstr>
      <vt:lpstr>PIVOT</vt:lpstr>
      <vt:lpstr>DASHBOARD</vt:lpstr>
      <vt:lpstr>Scenario Summary</vt:lpstr>
      <vt:lpstr>Scenario Manager</vt:lpstr>
      <vt:lpstr>VLKP</vt:lpstr>
      <vt:lpstr>VLKP (2)</vt:lpstr>
      <vt:lpstr>HLKP</vt:lpstr>
      <vt:lpstr>DateTime</vt:lpstr>
      <vt:lpstr>Entertainment</vt:lpstr>
      <vt:lpstr>Food</vt:lpstr>
      <vt:lpstr>Housing</vt:lpstr>
      <vt:lpstr>Income</vt:lpstr>
      <vt:lpstr>Loans</vt:lpstr>
      <vt:lpstr>Personal_Care</vt:lpstr>
      <vt:lpstr>Savings</vt:lpstr>
      <vt:lpstr>Total_Cost</vt:lpstr>
      <vt:lpstr>Transportation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Kumaran M</dc:creator>
  <cp:lastModifiedBy>Kumaran M</cp:lastModifiedBy>
  <dcterms:created xsi:type="dcterms:W3CDTF">2025-05-27T16:45:14Z</dcterms:created>
  <dcterms:modified xsi:type="dcterms:W3CDTF">2026-04-21T16:01:44Z</dcterms:modified>
</cp:coreProperties>
</file>